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e6f9119f53d94b16" /></Relationships>
</file>

<file path=xl/workbook.xml><?xml version="1.0" encoding="utf-8"?>
<x:workbook xmlns:x="http://schemas.openxmlformats.org/spreadsheetml/2006/main">
  <x:sheets>
    <x:sheet xmlns:r="http://schemas.openxmlformats.org/officeDocument/2006/relationships" name="خلاصه" sheetId="1" r:id="R7a5bedf467e04787"/>
    <x:sheet xmlns:r="http://schemas.openxmlformats.org/officeDocument/2006/relationships" name="Feature Inventory" sheetId="2" r:id="R3ad47426bc184bfe"/>
    <x:sheet xmlns:r="http://schemas.openxmlformats.org/officeDocument/2006/relationships" name="Business Rules" sheetId="3" r:id="Rfbcbb11aaf8e48dc"/>
    <x:sheet xmlns:r="http://schemas.openxmlformats.org/officeDocument/2006/relationships" name="Open Questions" sheetId="4" r:id="R98ccca7995b0404b"/>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24">
    <x:font>
      <x:sz val="11"/>
      <x:name val="Carlito"/>
    </x:font>
    <x:font>
      <x:b/>
      <x:sz val="18"/>
      <x:color rgb="FFFFFFFF"/>
      <x:name val="Carlito"/>
    </x:font>
    <x:font>
      <x:i/>
      <x:sz val="11"/>
      <x:color rgb="FF667085"/>
      <x:name val="Carlito"/>
    </x:font>
    <x:font>
      <x:b/>
      <x:sz val="11"/>
      <x:color rgb="FFFFFFFF"/>
      <x:name val="Carlito"/>
    </x:font>
    <x:font>
      <x:sz val="11"/>
      <x:color rgb="FF242424"/>
      <x:name val="Carlito"/>
    </x:font>
    <x:font>
      <x:b/>
      <x:sz val="14"/>
      <x:color rgb="FF6D55D8"/>
      <x:name val="Carlito"/>
    </x:font>
    <x:font>
      <x:b/>
      <x:sz val="11"/>
      <x:color rgb="FF242424"/>
      <x:name val="Carlito"/>
    </x:font>
    <x:font>
      <x:b/>
      <x:sz val="17"/>
      <x:color rgb="FFFFFFFF"/>
      <x:name val="Carlito"/>
    </x:font>
    <x:font>
      <x:sz val="9"/>
      <x:color rgb="FF242424"/>
      <x:name val="Carlito"/>
    </x:font>
    <x:font>
      <x:b/>
      <x:sz val="9"/>
      <x:color rgb="FF6D55D8"/>
      <x:name val="Carlito"/>
    </x:font>
    <x:font>
      <x:i/>
      <x:sz val="11"/>
      <x:color rgb="FF7A4E00"/>
      <x:name val="Carlito"/>
    </x:font>
    <x:font>
      <x:sz val="10"/>
      <x:color rgb="FF242424"/>
      <x:name val="Carlito"/>
    </x:font>
    <x:font>
      <x:b/>
      <x:sz val="18"/>
      <x:color rgb="FFFFFFFF"/>
      <x:name val="Tahoma"/>
    </x:font>
    <x:font>
      <x:i/>
      <x:sz val="11"/>
      <x:color rgb="FF667085"/>
      <x:name val="Tahoma"/>
    </x:font>
    <x:font>
      <x:sz val="11"/>
      <x:name val="Tahoma"/>
    </x:font>
    <x:font>
      <x:b/>
      <x:sz val="11"/>
      <x:color rgb="FFFFFFFF"/>
      <x:name val="Tahoma"/>
    </x:font>
    <x:font>
      <x:sz val="11"/>
      <x:color rgb="FF242424"/>
      <x:name val="Tahoma"/>
    </x:font>
    <x:font>
      <x:b/>
      <x:sz val="14"/>
      <x:color rgb="FF6D55D8"/>
      <x:name val="Tahoma"/>
    </x:font>
    <x:font>
      <x:b/>
      <x:sz val="11"/>
      <x:color rgb="FF242424"/>
      <x:name val="Tahoma"/>
    </x:font>
    <x:font>
      <x:b/>
      <x:sz val="17"/>
      <x:color rgb="FFFFFFFF"/>
      <x:name val="Tahoma"/>
    </x:font>
    <x:font>
      <x:b/>
      <x:sz val="9"/>
      <x:color rgb="FF6D55D8"/>
      <x:name val="Tahoma"/>
    </x:font>
    <x:font>
      <x:sz val="9"/>
      <x:color rgb="FF242424"/>
      <x:name val="Tahoma"/>
    </x:font>
    <x:font>
      <x:i/>
      <x:sz val="11"/>
      <x:color rgb="FF7A4E00"/>
      <x:name val="Tahoma"/>
    </x:font>
    <x:font>
      <x:sz val="10"/>
      <x:color rgb="FF242424"/>
      <x:name val="Tahoma"/>
    </x:font>
  </x:fonts>
  <x:fills count="10">
    <x:fill>
      <x:patternFill patternType="none"/>
    </x:fill>
    <x:fill>
      <x:patternFill patternType="gray125"/>
    </x:fill>
    <x:fill>
      <x:patternFill patternType="solid">
        <x:fgColor rgb="FF242424"/>
      </x:patternFill>
    </x:fill>
    <x:fill>
      <x:patternFill patternType="solid">
        <x:fgColor rgb="FFF7F4EA"/>
      </x:patternFill>
    </x:fill>
    <x:fill>
      <x:patternFill patternType="solid">
        <x:fgColor rgb="FFCDA434"/>
      </x:patternFill>
    </x:fill>
    <x:fill>
      <x:patternFill patternType="solid">
        <x:fgColor rgb="FFFAFAFA"/>
      </x:patternFill>
    </x:fill>
    <x:fill>
      <x:patternFill patternType="solid">
        <x:fgColor rgb="FFFFFFFF"/>
      </x:patternFill>
    </x:fill>
    <x:fill>
      <x:patternFill patternType="solid">
        <x:fgColor rgb="FF6D55D8"/>
      </x:patternFill>
    </x:fill>
    <x:fill>
      <x:patternFill patternType="solid">
        <x:fgColor rgb="FFE7EEFF"/>
      </x:patternFill>
    </x:fill>
    <x:fill>
      <x:patternFill patternType="solid">
        <x:fgColor rgb="FFFFF2CC"/>
      </x:patternFill>
    </x:fill>
  </x:fills>
  <x:borders count="9">
    <x:border/>
    <x:border>
      <x:left style="thin">
        <x:color rgb="FFE6E2D8"/>
      </x:left>
      <x:top style="thin">
        <x:color rgb="FFE6E2D8"/>
      </x:top>
    </x:border>
    <x:border>
      <x:right style="thin">
        <x:color rgb="FFE6E2D8"/>
      </x:right>
      <x:top style="thin">
        <x:color rgb="FFE6E2D8"/>
      </x:top>
    </x:border>
    <x:border>
      <x:left style="thin">
        <x:color rgb="FFE6E2D8"/>
      </x:left>
    </x:border>
    <x:border>
      <x:right style="thin">
        <x:color rgb="FFE6E2D8"/>
      </x:right>
    </x:border>
    <x:border>
      <x:left style="thin">
        <x:color rgb="FFE6E2D8"/>
      </x:left>
      <x:bottom style="thin">
        <x:color rgb="FFE6E2D8"/>
      </x:bottom>
    </x:border>
    <x:border>
      <x:right style="thin">
        <x:color rgb="FFE6E2D8"/>
      </x:right>
      <x:bottom style="thin">
        <x:color rgb="FFE6E2D8"/>
      </x:bottom>
    </x:border>
    <x:border>
      <x:top style="thin">
        <x:color rgb="FFE6E2D8"/>
      </x:top>
    </x:border>
    <x:border>
      <x:bottom style="thin">
        <x:color rgb="FFE6E2D8"/>
      </x:bottom>
    </x:border>
  </x:borders>
  <x:cellStyleXfs count="1">
    <x:xf numFmtId="0" fontId="0" fillId="0" borderId="0"/>
  </x:cellStyleXfs>
  <x:cellXfs count="153">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horizontal="center"/>
    </x:xf>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0" fillId="0" borderId="4" xfId="0" applyNumberFormat="1" applyFont="1" applyFill="1" applyBorder="1"/>
    <x:xf numFmtId="0" fontId="0" fillId="0" borderId="5" xfId="0" applyNumberFormat="1" applyFont="1" applyFill="1" applyBorder="1"/>
    <x:xf numFmtId="0" fontId="0" fillId="0" borderId="6" xfId="0" applyNumberFormat="1" applyFont="1" applyFill="1" applyBorder="1"/>
    <x:xf numFmtId="0" fontId="0" fillId="4" borderId="1" xfId="0" applyNumberFormat="1" applyFont="1" applyFill="1" applyBorder="1"/>
    <x:xf numFmtId="0" fontId="0" fillId="4" borderId="2" xfId="0" applyNumberFormat="1" applyFont="1" applyFill="1" applyBorder="1"/>
    <x:xf numFmtId="0" fontId="3" fillId="4" borderId="1" xfId="0" applyNumberFormat="1" applyFont="1" applyFill="1" applyBorder="1"/>
    <x:xf numFmtId="0" fontId="3" fillId="4" borderId="2" xfId="0" applyNumberFormat="1" applyFont="1" applyFill="1" applyBorder="1"/>
    <x:xf numFmtId="0" fontId="3" fillId="4" borderId="1" xfId="0" applyNumberFormat="1" applyFont="1" applyFill="1" applyBorder="1" applyAlignment="1">
      <x:alignment horizontal="center"/>
    </x:xf>
    <x:xf numFmtId="0" fontId="3" fillId="4" borderId="2" xfId="0" applyNumberFormat="1" applyFont="1" applyFill="1" applyBorder="1" applyAlignment="1">
      <x:alignment horizontal="center"/>
    </x:xf>
    <x:xf numFmtId="0" fontId="0" fillId="5" borderId="3" xfId="0" applyNumberFormat="1" applyFont="1" applyFill="1" applyBorder="1"/>
    <x:xf numFmtId="0" fontId="0" fillId="5" borderId="5" xfId="0" applyNumberFormat="1" applyFont="1" applyFill="1" applyBorder="1"/>
    <x:xf numFmtId="0" fontId="4" fillId="5" borderId="3" xfId="0" applyNumberFormat="1" applyFont="1" applyFill="1" applyBorder="1"/>
    <x:xf numFmtId="0" fontId="4" fillId="5" borderId="5" xfId="0" applyNumberFormat="1" applyFont="1" applyFill="1" applyBorder="1"/>
    <x:xf numFmtId="0" fontId="0" fillId="6" borderId="4" xfId="0" applyNumberFormat="1" applyFont="1" applyFill="1" applyBorder="1"/>
    <x:xf numFmtId="0" fontId="0" fillId="6" borderId="6" xfId="0" applyNumberFormat="1" applyFont="1" applyFill="1" applyBorder="1"/>
    <x:xf numFmtId="0" fontId="5" fillId="6" borderId="4" xfId="0" applyNumberFormat="1" applyFont="1" applyFill="1" applyBorder="1"/>
    <x:xf numFmtId="0" fontId="5" fillId="6" borderId="6" xfId="0" applyNumberFormat="1" applyFont="1" applyFill="1" applyBorder="1"/>
    <x:xf numFmtId="200" fontId="5" fillId="6" borderId="4" xfId="0" applyNumberFormat="1" applyFont="1" applyFill="1" applyBorder="1"/>
    <x:xf numFmtId="200" fontId="5" fillId="6" borderId="6" xfId="0" applyNumberFormat="1" applyFont="1" applyFill="1" applyBorder="1"/>
    <x:xf numFmtId="200" fontId="5" fillId="6" borderId="4" xfId="0" applyNumberFormat="1" applyFont="1" applyFill="1" applyBorder="1" applyAlignment="1">
      <x:alignment horizontal="center"/>
    </x:xf>
    <x:xf numFmtId="200" fontId="5" fillId="6" borderId="6" xfId="0" applyNumberFormat="1" applyFont="1" applyFill="1" applyBorder="1" applyAlignment="1">
      <x:alignment horizontal="center"/>
    </x:xf>
    <x:xf numFmtId="0" fontId="0" fillId="7" borderId="0" xfId="0" applyNumberFormat="1" applyFont="1" applyFill="1" applyBorder="1"/>
    <x:xf numFmtId="0" fontId="3" fillId="7" borderId="0" xfId="0" applyNumberFormat="1" applyFont="1" applyFill="1" applyBorder="1"/>
    <x:xf numFmtId="0" fontId="3" fillId="7" borderId="0" xfId="0" applyNumberFormat="1" applyFont="1" applyFill="1" applyBorder="1" applyAlignment="1">
      <x:alignment horizontal="center"/>
    </x:xf>
    <x:xf numFmtId="0" fontId="0" fillId="6" borderId="0" xfId="0" applyNumberFormat="1" applyFont="1" applyFill="1" applyBorder="1"/>
    <x:xf numFmtId="0" fontId="4" fillId="6" borderId="0" xfId="0" applyNumberFormat="1" applyFont="1" applyFill="1" applyBorder="1"/>
    <x:xf numFmtId="0" fontId="4" fillId="6" borderId="1" xfId="0" applyNumberFormat="1" applyFont="1" applyFill="1" applyBorder="1"/>
    <x:xf numFmtId="0" fontId="4" fillId="6" borderId="7" xfId="0" applyNumberFormat="1" applyFont="1" applyFill="1" applyBorder="1"/>
    <x:xf numFmtId="0" fontId="4" fillId="6" borderId="2" xfId="0" applyNumberFormat="1" applyFont="1" applyFill="1" applyBorder="1"/>
    <x:xf numFmtId="0" fontId="4" fillId="6" borderId="3" xfId="0" applyNumberFormat="1" applyFont="1" applyFill="1" applyBorder="1"/>
    <x:xf numFmtId="0" fontId="4" fillId="6" borderId="4" xfId="0" applyNumberFormat="1" applyFont="1" applyFill="1" applyBorder="1"/>
    <x:xf numFmtId="0" fontId="4" fillId="6" borderId="5" xfId="0" applyNumberFormat="1" applyFont="1" applyFill="1" applyBorder="1"/>
    <x:xf numFmtId="0" fontId="4" fillId="6" borderId="8" xfId="0" applyNumberFormat="1" applyFont="1" applyFill="1" applyBorder="1"/>
    <x:xf numFmtId="0" fontId="4" fillId="6" borderId="6" xfId="0" applyNumberFormat="1" applyFont="1" applyFill="1" applyBorder="1"/>
    <x:xf numFmtId="0" fontId="4" fillId="6" borderId="1" xfId="0" applyNumberFormat="1" applyFont="1" applyFill="1" applyBorder="1" applyAlignment="1">
      <x:alignment wrapText="1"/>
    </x:xf>
    <x:xf numFmtId="0" fontId="4" fillId="6" borderId="7" xfId="0" applyNumberFormat="1" applyFont="1" applyFill="1" applyBorder="1" applyAlignment="1">
      <x:alignment wrapText="1"/>
    </x:xf>
    <x:xf numFmtId="0" fontId="4" fillId="6" borderId="2" xfId="0" applyNumberFormat="1" applyFont="1" applyFill="1" applyBorder="1" applyAlignment="1">
      <x:alignment wrapText="1"/>
    </x:xf>
    <x:xf numFmtId="0" fontId="4" fillId="6" borderId="3" xfId="0" applyNumberFormat="1" applyFont="1" applyFill="1" applyBorder="1" applyAlignment="1">
      <x:alignment wrapText="1"/>
    </x:xf>
    <x:xf numFmtId="0" fontId="4" fillId="6" borderId="0" xfId="0" applyNumberFormat="1" applyFont="1" applyFill="1" applyBorder="1" applyAlignment="1">
      <x:alignment wrapText="1"/>
    </x:xf>
    <x:xf numFmtId="0" fontId="4" fillId="6" borderId="4" xfId="0" applyNumberFormat="1" applyFont="1" applyFill="1" applyBorder="1" applyAlignment="1">
      <x:alignment wrapText="1"/>
    </x:xf>
    <x:xf numFmtId="0" fontId="4" fillId="6" borderId="5" xfId="0" applyNumberFormat="1" applyFont="1" applyFill="1" applyBorder="1" applyAlignment="1">
      <x:alignment wrapText="1"/>
    </x:xf>
    <x:xf numFmtId="0" fontId="4" fillId="6" borderId="8" xfId="0" applyNumberFormat="1" applyFont="1" applyFill="1" applyBorder="1" applyAlignment="1">
      <x:alignment wrapText="1"/>
    </x:xf>
    <x:xf numFmtId="0" fontId="4" fillId="6" borderId="6" xfId="0" applyNumberFormat="1" applyFont="1" applyFill="1" applyBorder="1" applyAlignment="1">
      <x:alignment wrapText="1"/>
    </x:xf>
    <x:xf numFmtId="0" fontId="4" fillId="6" borderId="1" xfId="0" applyNumberFormat="1" applyFont="1" applyFill="1" applyBorder="1" applyAlignment="1">
      <x:alignment vertical="top" wrapText="1"/>
    </x:xf>
    <x:xf numFmtId="0" fontId="4" fillId="6" borderId="7" xfId="0" applyNumberFormat="1" applyFont="1" applyFill="1" applyBorder="1" applyAlignment="1">
      <x:alignment vertical="top" wrapText="1"/>
    </x:xf>
    <x:xf numFmtId="0" fontId="4" fillId="6" borderId="2" xfId="0" applyNumberFormat="1" applyFont="1" applyFill="1" applyBorder="1" applyAlignment="1">
      <x:alignment vertical="top" wrapText="1"/>
    </x:xf>
    <x:xf numFmtId="0" fontId="4" fillId="6" borderId="3" xfId="0" applyNumberFormat="1" applyFont="1" applyFill="1" applyBorder="1" applyAlignment="1">
      <x:alignment vertical="top" wrapText="1"/>
    </x:xf>
    <x:xf numFmtId="0" fontId="4" fillId="6" borderId="0" xfId="0" applyNumberFormat="1" applyFont="1" applyFill="1" applyBorder="1" applyAlignment="1">
      <x:alignment vertical="top" wrapText="1"/>
    </x:xf>
    <x:xf numFmtId="0" fontId="4" fillId="6" borderId="4" xfId="0" applyNumberFormat="1" applyFont="1" applyFill="1" applyBorder="1" applyAlignment="1">
      <x:alignment vertical="top" wrapText="1"/>
    </x:xf>
    <x:xf numFmtId="0" fontId="4" fillId="6" borderId="5" xfId="0" applyNumberFormat="1" applyFont="1" applyFill="1" applyBorder="1" applyAlignment="1">
      <x:alignment vertical="top" wrapText="1"/>
    </x:xf>
    <x:xf numFmtId="0" fontId="4" fillId="6" borderId="8" xfId="0" applyNumberFormat="1" applyFont="1" applyFill="1" applyBorder="1" applyAlignment="1">
      <x:alignment vertical="top" wrapText="1"/>
    </x:xf>
    <x:xf numFmtId="0" fontId="4" fillId="6" borderId="6" xfId="0" applyNumberFormat="1" applyFont="1" applyFill="1" applyBorder="1" applyAlignment="1">
      <x:alignment vertical="top"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horizontal="center"/>
    </x:xf>
    <x:xf numFmtId="0" fontId="4" fillId="3" borderId="0" xfId="0" applyNumberFormat="1" applyFont="1" applyFill="1" applyBorder="1"/>
    <x:xf numFmtId="0" fontId="4" fillId="3" borderId="1" xfId="0" applyNumberFormat="1" applyFont="1" applyFill="1" applyBorder="1"/>
    <x:xf numFmtId="0" fontId="4" fillId="3" borderId="7" xfId="0" applyNumberFormat="1" applyFont="1" applyFill="1" applyBorder="1"/>
    <x:xf numFmtId="0" fontId="4" fillId="3" borderId="2" xfId="0" applyNumberFormat="1" applyFont="1" applyFill="1" applyBorder="1"/>
    <x:xf numFmtId="0" fontId="4" fillId="3" borderId="3" xfId="0" applyNumberFormat="1" applyFont="1" applyFill="1" applyBorder="1"/>
    <x:xf numFmtId="0" fontId="4" fillId="3" borderId="4" xfId="0" applyNumberFormat="1" applyFont="1" applyFill="1" applyBorder="1"/>
    <x:xf numFmtId="0" fontId="4" fillId="3" borderId="5" xfId="0" applyNumberFormat="1" applyFont="1" applyFill="1" applyBorder="1"/>
    <x:xf numFmtId="0" fontId="4" fillId="3" borderId="8" xfId="0" applyNumberFormat="1" applyFont="1" applyFill="1" applyBorder="1"/>
    <x:xf numFmtId="0" fontId="4" fillId="3" borderId="6" xfId="0" applyNumberFormat="1" applyFont="1" applyFill="1" applyBorder="1"/>
    <x:xf numFmtId="0" fontId="4" fillId="3" borderId="1" xfId="0" applyNumberFormat="1" applyFont="1" applyFill="1" applyBorder="1" applyAlignment="1">
      <x:alignment wrapText="1"/>
    </x:xf>
    <x:xf numFmtId="0" fontId="4" fillId="3" borderId="7" xfId="0" applyNumberFormat="1" applyFont="1" applyFill="1" applyBorder="1" applyAlignment="1">
      <x:alignment wrapText="1"/>
    </x:xf>
    <x:xf numFmtId="0" fontId="4" fillId="3" borderId="2" xfId="0" applyNumberFormat="1" applyFont="1" applyFill="1" applyBorder="1" applyAlignment="1">
      <x:alignment wrapText="1"/>
    </x:xf>
    <x:xf numFmtId="0" fontId="4" fillId="3" borderId="3" xfId="0" applyNumberFormat="1" applyFont="1" applyFill="1" applyBorder="1" applyAlignment="1">
      <x:alignment wrapText="1"/>
    </x:xf>
    <x:xf numFmtId="0" fontId="4" fillId="3" borderId="0" xfId="0" applyNumberFormat="1" applyFont="1" applyFill="1" applyBorder="1" applyAlignment="1">
      <x:alignment wrapText="1"/>
    </x:xf>
    <x:xf numFmtId="0" fontId="4" fillId="3" borderId="4" xfId="0" applyNumberFormat="1" applyFont="1" applyFill="1" applyBorder="1" applyAlignment="1">
      <x:alignment wrapText="1"/>
    </x:xf>
    <x:xf numFmtId="0" fontId="4" fillId="3" borderId="5" xfId="0" applyNumberFormat="1" applyFont="1" applyFill="1" applyBorder="1" applyAlignment="1">
      <x:alignment wrapText="1"/>
    </x:xf>
    <x:xf numFmtId="0" fontId="4" fillId="3" borderId="8" xfId="0" applyNumberFormat="1" applyFont="1" applyFill="1" applyBorder="1" applyAlignment="1">
      <x:alignment wrapText="1"/>
    </x:xf>
    <x:xf numFmtId="0" fontId="4" fillId="3" borderId="6" xfId="0" applyNumberFormat="1" applyFont="1" applyFill="1" applyBorder="1" applyAlignment="1">
      <x:alignment wrapText="1"/>
    </x:xf>
    <x:xf numFmtId="0" fontId="4" fillId="3" borderId="1" xfId="0" applyNumberFormat="1" applyFont="1" applyFill="1" applyBorder="1" applyAlignment="1">
      <x:alignment vertical="top" wrapText="1"/>
    </x:xf>
    <x:xf numFmtId="0" fontId="4" fillId="3" borderId="7" xfId="0" applyNumberFormat="1" applyFont="1" applyFill="1" applyBorder="1" applyAlignment="1">
      <x:alignment vertical="top" wrapText="1"/>
    </x:xf>
    <x:xf numFmtId="0" fontId="4" fillId="3" borderId="2" xfId="0" applyNumberFormat="1" applyFont="1" applyFill="1" applyBorder="1" applyAlignment="1">
      <x:alignment vertical="top" wrapText="1"/>
    </x:xf>
    <x:xf numFmtId="0" fontId="4" fillId="3" borderId="3" xfId="0" applyNumberFormat="1" applyFont="1" applyFill="1" applyBorder="1" applyAlignment="1">
      <x:alignment vertical="top" wrapText="1"/>
    </x:xf>
    <x:xf numFmtId="0" fontId="4" fillId="3" borderId="0" xfId="0" applyNumberFormat="1" applyFont="1" applyFill="1" applyBorder="1" applyAlignment="1">
      <x:alignment vertical="top" wrapText="1"/>
    </x:xf>
    <x:xf numFmtId="0" fontId="4" fillId="3" borderId="4" xfId="0" applyNumberFormat="1" applyFont="1" applyFill="1" applyBorder="1" applyAlignment="1">
      <x:alignment vertical="top" wrapText="1"/>
    </x:xf>
    <x:xf numFmtId="0" fontId="4" fillId="3" borderId="5" xfId="0" applyNumberFormat="1" applyFont="1" applyFill="1" applyBorder="1" applyAlignment="1">
      <x:alignment vertical="top" wrapText="1"/>
    </x:xf>
    <x:xf numFmtId="0" fontId="4" fillId="3" borderId="8" xfId="0" applyNumberFormat="1" applyFont="1" applyFill="1" applyBorder="1" applyAlignment="1">
      <x:alignment vertical="top" wrapText="1"/>
    </x:xf>
    <x:xf numFmtId="0" fontId="4" fillId="3" borderId="6" xfId="0" applyNumberFormat="1" applyFont="1" applyFill="1" applyBorder="1" applyAlignment="1">
      <x:alignment vertical="top" wrapText="1"/>
    </x:xf>
    <x:xf numFmtId="0" fontId="0" fillId="8" borderId="0" xfId="0" applyNumberFormat="1" applyFont="1" applyFill="1" applyBorder="1"/>
    <x:xf numFmtId="0" fontId="6" fillId="8" borderId="0" xfId="0" applyNumberFormat="1" applyFont="1" applyFill="1" applyBorder="1"/>
    <x:xf numFmtId="0" fontId="6" fillId="8" borderId="0" xfId="0" applyNumberFormat="1" applyFont="1" applyFill="1" applyBorder="1" applyAlignment="1">
      <x:alignment wrapText="1"/>
    </x:xf>
    <x:xf numFmtId="0" fontId="7" fillId="2" borderId="0" xfId="0" applyNumberFormat="1" applyFont="1" applyFill="1" applyBorder="1"/>
    <x:xf numFmtId="0" fontId="7" fillId="2" borderId="0" xfId="0" applyNumberFormat="1" applyFont="1" applyFill="1" applyBorder="1" applyAlignment="1">
      <x:alignment horizontal="center"/>
    </x:xf>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8" fillId="0" borderId="0" xfId="0" applyNumberFormat="1" applyFont="1" applyFill="1" applyBorder="1"/>
    <x:xf numFmtId="0" fontId="8" fillId="0" borderId="0" xfId="0" applyNumberFormat="1" applyFont="1" applyFill="1" applyBorder="1" applyAlignment="1">
      <x:alignment wrapText="1"/>
    </x:xf>
    <x:xf numFmtId="0" fontId="8" fillId="0" borderId="0" xfId="0" applyNumberFormat="1" applyFont="1" applyFill="1" applyBorder="1" applyAlignment="1">
      <x:alignment vertical="top" wrapText="1"/>
    </x:xf>
    <x:xf numFmtId="0" fontId="9" fillId="0" borderId="0" xfId="0" applyNumberFormat="1" applyFont="1" applyFill="1" applyBorder="1" applyAlignment="1">
      <x:alignment vertical="top" wrapText="1"/>
    </x:xf>
    <x:xf numFmtId="0" fontId="8" fillId="0" borderId="0" xfId="0" applyNumberFormat="1" applyFont="1" applyFill="1" applyBorder="1" applyAlignment="1">
      <x:alignment horizontal="center" vertical="top" wrapText="1"/>
    </x:xf>
    <x:xf numFmtId="0" fontId="0" fillId="9" borderId="0" xfId="0" applyNumberFormat="1" applyFont="1" applyFill="1" applyBorder="1"/>
    <x:xf numFmtId="0" fontId="10" fillId="9" borderId="0" xfId="0" applyNumberFormat="1" applyFont="1" applyFill="1" applyBorder="1"/>
    <x:xf numFmtId="0" fontId="10" fillId="9" borderId="0" xfId="0" applyNumberFormat="1" applyFont="1" applyFill="1" applyBorder="1" applyAlignment="1">
      <x:alignment horizontal="center"/>
    </x:xf>
    <x:xf numFmtId="0" fontId="11" fillId="0" borderId="0" xfId="0" applyNumberFormat="1" applyFont="1" applyFill="1" applyBorder="1"/>
    <x:xf numFmtId="0" fontId="11" fillId="0" borderId="0" xfId="0" applyNumberFormat="1" applyFont="1" applyFill="1" applyBorder="1" applyAlignment="1">
      <x:alignment wrapText="1"/>
    </x:xf>
    <x:xf numFmtId="0" fontId="11" fillId="0" borderId="0" xfId="0" applyNumberFormat="1" applyFont="1" applyFill="1" applyBorder="1" applyAlignment="1">
      <x:alignment vertical="top" wrapText="1"/>
    </x:xf>
    <x:xf numFmtId="0" fontId="3" fillId="7" borderId="0" xfId="0" applyNumberFormat="1" applyFont="1" applyFill="1" applyBorder="1" applyAlignment="1">
      <x:alignment wrapText="1"/>
    </x:xf>
    <x:xf numFmtId="0" fontId="3" fillId="7" borderId="0" xfId="0" applyNumberFormat="1" applyFont="1" applyFill="1" applyBorder="1" applyAlignment="1">
      <x:alignment horizontal="center" wrapText="1"/>
    </x:xf>
    <x:xf numFmtId="0" fontId="12" fillId="2" borderId="0" xfId="0" applyNumberFormat="1" applyFont="1" applyFill="1" applyBorder="1" applyAlignment="1">
      <x:alignment horizontal="center" vertical="center"/>
    </x:xf>
    <x:xf numFmtId="0" fontId="13" fillId="3" borderId="0" xfId="0" applyNumberFormat="1" applyFont="1" applyFill="1" applyBorder="1" applyAlignment="1">
      <x:alignment horizontal="center"/>
    </x:xf>
    <x:xf numFmtId="0" fontId="14" fillId="0" borderId="0" xfId="0" applyNumberFormat="1" applyFont="1" applyFill="1" applyBorder="1"/>
    <x:xf numFmtId="0" fontId="15" fillId="4" borderId="1" xfId="0" applyNumberFormat="1" applyFont="1" applyFill="1" applyBorder="1" applyAlignment="1">
      <x:alignment horizontal="center"/>
    </x:xf>
    <x:xf numFmtId="0" fontId="15" fillId="4" borderId="2" xfId="0" applyNumberFormat="1" applyFont="1" applyFill="1" applyBorder="1" applyAlignment="1">
      <x:alignment horizontal="center"/>
    </x:xf>
    <x:xf numFmtId="0" fontId="15" fillId="7" borderId="0" xfId="0" applyNumberFormat="1" applyFont="1" applyFill="1" applyBorder="1" applyAlignment="1">
      <x:alignment horizontal="center"/>
    </x:xf>
    <x:xf numFmtId="0" fontId="16" fillId="5" borderId="3" xfId="0" applyNumberFormat="1" applyFont="1" applyFill="1" applyBorder="1"/>
    <x:xf numFmtId="200" fontId="17" fillId="6" borderId="4" xfId="0" applyNumberFormat="1" applyFont="1" applyFill="1" applyBorder="1" applyAlignment="1">
      <x:alignment horizontal="center"/>
    </x:xf>
    <x:xf numFmtId="0" fontId="16" fillId="6" borderId="1" xfId="0" applyNumberFormat="1" applyFont="1" applyFill="1" applyBorder="1" applyAlignment="1">
      <x:alignment vertical="top" wrapText="1"/>
    </x:xf>
    <x:xf numFmtId="0" fontId="16" fillId="6" borderId="7" xfId="0" applyNumberFormat="1" applyFont="1" applyFill="1" applyBorder="1" applyAlignment="1">
      <x:alignment vertical="top" wrapText="1"/>
    </x:xf>
    <x:xf numFmtId="0" fontId="16" fillId="6" borderId="2" xfId="0" applyNumberFormat="1" applyFont="1" applyFill="1" applyBorder="1" applyAlignment="1">
      <x:alignment vertical="top" wrapText="1"/>
    </x:xf>
    <x:xf numFmtId="0" fontId="16" fillId="6" borderId="3" xfId="0" applyNumberFormat="1" applyFont="1" applyFill="1" applyBorder="1" applyAlignment="1">
      <x:alignment vertical="top" wrapText="1"/>
    </x:xf>
    <x:xf numFmtId="0" fontId="16" fillId="6" borderId="0" xfId="0" applyNumberFormat="1" applyFont="1" applyFill="1" applyBorder="1" applyAlignment="1">
      <x:alignment vertical="top" wrapText="1"/>
    </x:xf>
    <x:xf numFmtId="0" fontId="16" fillId="6" borderId="4" xfId="0" applyNumberFormat="1" applyFont="1" applyFill="1" applyBorder="1" applyAlignment="1">
      <x:alignment vertical="top" wrapText="1"/>
    </x:xf>
    <x:xf numFmtId="0" fontId="16" fillId="5" borderId="5" xfId="0" applyNumberFormat="1" applyFont="1" applyFill="1" applyBorder="1"/>
    <x:xf numFmtId="200" fontId="17" fillId="6" borderId="6" xfId="0" applyNumberFormat="1" applyFont="1" applyFill="1" applyBorder="1" applyAlignment="1">
      <x:alignment horizontal="center"/>
    </x:xf>
    <x:xf numFmtId="0" fontId="16" fillId="6" borderId="5" xfId="0" applyNumberFormat="1" applyFont="1" applyFill="1" applyBorder="1" applyAlignment="1">
      <x:alignment vertical="top" wrapText="1"/>
    </x:xf>
    <x:xf numFmtId="0" fontId="16" fillId="6" borderId="8" xfId="0" applyNumberFormat="1" applyFont="1" applyFill="1" applyBorder="1" applyAlignment="1">
      <x:alignment vertical="top" wrapText="1"/>
    </x:xf>
    <x:xf numFmtId="0" fontId="16" fillId="6" borderId="6" xfId="0" applyNumberFormat="1" applyFont="1" applyFill="1" applyBorder="1" applyAlignment="1">
      <x:alignment vertical="top" wrapText="1"/>
    </x:xf>
    <x:xf numFmtId="0" fontId="15" fillId="4" borderId="0" xfId="0" applyNumberFormat="1" applyFont="1" applyFill="1" applyBorder="1" applyAlignment="1">
      <x:alignment horizontal="center"/>
    </x:xf>
    <x:xf numFmtId="0" fontId="16" fillId="3" borderId="1" xfId="0" applyNumberFormat="1" applyFont="1" applyFill="1" applyBorder="1" applyAlignment="1">
      <x:alignment vertical="top" wrapText="1"/>
    </x:xf>
    <x:xf numFmtId="0" fontId="16" fillId="3" borderId="7" xfId="0" applyNumberFormat="1" applyFont="1" applyFill="1" applyBorder="1" applyAlignment="1">
      <x:alignment vertical="top" wrapText="1"/>
    </x:xf>
    <x:xf numFmtId="0" fontId="16" fillId="3" borderId="2" xfId="0" applyNumberFormat="1" applyFont="1" applyFill="1" applyBorder="1" applyAlignment="1">
      <x:alignment vertical="top" wrapText="1"/>
    </x:xf>
    <x:xf numFmtId="0" fontId="16" fillId="3" borderId="3" xfId="0" applyNumberFormat="1" applyFont="1" applyFill="1" applyBorder="1" applyAlignment="1">
      <x:alignment vertical="top" wrapText="1"/>
    </x:xf>
    <x:xf numFmtId="0" fontId="16" fillId="3" borderId="0" xfId="0" applyNumberFormat="1" applyFont="1" applyFill="1" applyBorder="1" applyAlignment="1">
      <x:alignment vertical="top" wrapText="1"/>
    </x:xf>
    <x:xf numFmtId="0" fontId="16" fillId="3" borderId="4" xfId="0" applyNumberFormat="1" applyFont="1" applyFill="1" applyBorder="1" applyAlignment="1">
      <x:alignment vertical="top" wrapText="1"/>
    </x:xf>
    <x:xf numFmtId="0" fontId="16" fillId="3" borderId="5" xfId="0" applyNumberFormat="1" applyFont="1" applyFill="1" applyBorder="1" applyAlignment="1">
      <x:alignment vertical="top" wrapText="1"/>
    </x:xf>
    <x:xf numFmtId="0" fontId="16" fillId="3" borderId="8" xfId="0" applyNumberFormat="1" applyFont="1" applyFill="1" applyBorder="1" applyAlignment="1">
      <x:alignment vertical="top" wrapText="1"/>
    </x:xf>
    <x:xf numFmtId="0" fontId="16" fillId="3" borderId="6" xfId="0" applyNumberFormat="1" applyFont="1" applyFill="1" applyBorder="1" applyAlignment="1">
      <x:alignment vertical="top" wrapText="1"/>
    </x:xf>
    <x:xf numFmtId="0" fontId="18" fillId="8" borderId="0" xfId="0" applyNumberFormat="1" applyFont="1" applyFill="1" applyBorder="1" applyAlignment="1">
      <x:alignment wrapText="1"/>
    </x:xf>
    <x:xf numFmtId="0" fontId="19" fillId="2" borderId="0" xfId="0" applyNumberFormat="1" applyFont="1" applyFill="1" applyBorder="1" applyAlignment="1">
      <x:alignment horizontal="center"/>
    </x:xf>
    <x:xf numFmtId="0" fontId="15" fillId="4" borderId="0" xfId="0" applyNumberFormat="1" applyFont="1" applyFill="1" applyBorder="1" applyAlignment="1">
      <x:alignment horizontal="center" vertical="center" wrapText="1"/>
    </x:xf>
    <x:xf numFmtId="0" fontId="20" fillId="0" borderId="0" xfId="0" applyNumberFormat="1" applyFont="1" applyFill="1" applyBorder="1" applyAlignment="1">
      <x:alignment vertical="top" wrapText="1"/>
    </x:xf>
    <x:xf numFmtId="0" fontId="21" fillId="0" borderId="0" xfId="0" applyNumberFormat="1" applyFont="1" applyFill="1" applyBorder="1" applyAlignment="1">
      <x:alignment vertical="top" wrapText="1"/>
    </x:xf>
    <x:xf numFmtId="0" fontId="21" fillId="0" borderId="0" xfId="0" applyNumberFormat="1" applyFont="1" applyFill="1" applyBorder="1" applyAlignment="1">
      <x:alignment horizontal="center" vertical="top" wrapText="1"/>
    </x:xf>
    <x:xf numFmtId="0" fontId="22" fillId="9" borderId="0" xfId="0" applyNumberFormat="1" applyFont="1" applyFill="1" applyBorder="1" applyAlignment="1">
      <x:alignment horizontal="center"/>
    </x:xf>
    <x:xf numFmtId="0" fontId="15" fillId="4" borderId="0" xfId="0" applyNumberFormat="1" applyFont="1" applyFill="1" applyBorder="1" applyAlignment="1">
      <x:alignment horizontal="center" wrapText="1"/>
    </x:xf>
    <x:xf numFmtId="0" fontId="23" fillId="0" borderId="0" xfId="0" applyNumberFormat="1" applyFont="1" applyFill="1" applyBorder="1" applyAlignment="1">
      <x:alignment vertical="top" wrapText="1"/>
    </x:xf>
    <x:xf numFmtId="0" fontId="15" fillId="7" borderId="0" xfId="0" applyNumberFormat="1" applyFont="1" applyFill="1" applyBorder="1" applyAlignment="1">
      <x:alignment horizontal="center" wrapText="1"/>
    </x:xf>
  </x:cellXfs>
  <x:cellStyles count="1">
    <x:cellStyle name="Normal" xfId="0"/>
  </x:cellStyles>
  <x:dxfs count="8">
    <x:dxf>
      <x:font>
        <x:b/>
        <x:color rgb="FFA61B1B"/>
      </x:font>
      <x:fill>
        <x:patternFill patternType="solid">
          <x:bgColor rgb="FFFCE2E0"/>
        </x:patternFill>
      </x:fill>
    </x:dxf>
    <x:dxf>
      <x:font>
        <x:b/>
        <x:color rgb="FF8A5A00"/>
      </x:font>
      <x:fill>
        <x:patternFill patternType="solid">
          <x:bgColor rgb="FFFFF2CC"/>
        </x:patternFill>
      </x:fill>
    </x:dxf>
    <x:dxf>
      <x:font>
        <x:color rgb="FF176B3A"/>
      </x:font>
      <x:fill>
        <x:patternFill patternType="solid">
          <x:bgColor rgb="FFDDF3E4"/>
        </x:patternFill>
      </x:fill>
    </x:dxf>
    <x:dxf>
      <x:font>
        <x:color rgb="FF8A5A00"/>
      </x:font>
      <x:fill>
        <x:patternFill patternType="solid">
          <x:bgColor rgb="FFFFF2CC"/>
        </x:patternFill>
      </x:fill>
    </x:dxf>
    <x:dxf>
      <x:font>
        <x:b/>
        <x:color rgb="FFA61B1B"/>
      </x:font>
      <x:fill>
        <x:patternFill patternType="solid">
          <x:bgColor rgb="FFFCE2E0"/>
        </x:patternFill>
      </x:fill>
    </x:dxf>
    <x:dxf>
      <x:font>
        <x:b/>
        <x:color rgb="FFA61B1B"/>
      </x:font>
      <x:fill>
        <x:patternFill patternType="solid">
          <x:bgColor rgb="FFFCE2E0"/>
        </x:patternFill>
      </x:fill>
    </x:dxf>
    <x:dxf>
      <x:font>
        <x:color rgb="FF8A5A00"/>
      </x:font>
      <x:fill>
        <x:patternFill patternType="solid">
          <x:bgColor rgb="FFFFF2CC"/>
        </x:patternFill>
      </x:fill>
    </x:dxf>
    <x:dxf>
      <x:font>
        <x:color rgb="FF176B3A"/>
      </x:font>
      <x:fill>
        <x:patternFill patternType="solid">
          <x:bgColor rgb="FFDDF3E4"/>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56c8c5c9aeb2424f" /><Relationship Type="http://schemas.openxmlformats.org/officeDocument/2006/relationships/theme" Target="/xl/theme/theme1.xml" Id="R023311fee34b4c8f" /><Relationship Type="http://schemas.openxmlformats.org/officeDocument/2006/relationships/sharedStrings" Target="/xl/sharedStrings.xml" Id="R4b2ad59a32374281" /><Relationship Type="http://schemas.openxmlformats.org/officeDocument/2006/relationships/worksheet" Target="/xl/worksheets/sheet1.xml" Id="R7a5bedf467e04787" /><Relationship Type="http://schemas.openxmlformats.org/officeDocument/2006/relationships/worksheet" Target="/xl/worksheets/sheet2.xml" Id="R3ad47426bc184bfe" /><Relationship Type="http://schemas.openxmlformats.org/officeDocument/2006/relationships/worksheet" Target="/xl/worksheets/sheet3.xml" Id="Rfbcbb11aaf8e48dc" /><Relationship Type="http://schemas.openxmlformats.org/officeDocument/2006/relationships/worksheet" Target="/xl/worksheets/sheet4.xml" Id="R98ccca7995b0404b" /><Relationship Type="http://schemas.microsoft.com/office/2017/10/relationships/person" Target="/xl/persons/person.xml" Id="R9754c14adafc4f6b" /></Relationships>
</file>

<file path=xl/persons/person.xml><?xml version="1.0" encoding="utf-8"?>
<xltc:personList xmlns:xltc="http://schemas.microsoft.com/office/spreadsheetml/2018/threadedcomments">
  <xltc:person displayName="Sepide Shemsh" id="{A35BFD85-1B1C-45DB-AE36-8F04A3D4CC25}"/>
</xltc:personList>
</file>

<file path=xl/tables/table1.xml><?xml version="1.0" encoding="utf-8"?>
<x:table xmlns:x="http://schemas.openxmlformats.org/spreadsheetml/2006/main" id="1" name="ShemshFeatureInventory" displayName="ShemshFeatureInventory" ref="A4:T71" headerRowCount="1" totalsRowCount="0" totalsRowShown="0">
  <x:autoFilter ref="A4:T71"/>
  <x:tableColumns count="20">
    <x:tableColumn id="1" name="Feature ID"/>
    <x:tableColumn id="2" name="Category"/>
    <x:tableColumn id="3" name="Feature Name"/>
    <x:tableColumn id="4" name="Description"/>
    <x:tableColumn id="5" name="User Benefit"/>
    <x:tableColumn id="6" name="Location"/>
    <x:tableColumn id="7" name="Entry Point"/>
    <x:tableColumn id="8" name="Access Requirement"/>
    <x:tableColumn id="9" name="KYC Requirement"/>
    <x:tableColumn id="10" name="Financial Requirement"/>
    <x:tableColumn id="11" name="Observed Status"/>
    <x:tableColumn id="12" name="Availability"/>
    <x:tableColumn id="13" name="Platform"/>
    <x:tableColumn id="14" name="Business Rule"/>
    <x:tableColumn id="15" name="Fee"/>
    <x:tableColumn id="16" name="Limit"/>
    <x:tableColumn id="17" name="Evidence"/>
    <x:tableColumn id="18" name="Screenshot ID"/>
    <x:tableColumn id="19" name="Notes"/>
    <x:tableColumn id="20" name="Comparison Tag"/>
  </x:tableColumns>
  <x:tableStyleInfo name="TableStyleMedium2" showFirstColumn="0" showLastColumn="0" showRowStripes="1" showColumnStripes="0"/>
</x:table>
</file>

<file path=xl/tables/table2.xml><?xml version="1.0" encoding="utf-8"?>
<x:table xmlns:x="http://schemas.openxmlformats.org/spreadsheetml/2006/main" id="2" name="ShemshBusinessRules" displayName="ShemshBusinessRules" ref="A4:G24" headerRowCount="1" totalsRowCount="0" totalsRowShown="0">
  <x:tableColumns count="7">
    <x:tableColumn id="1" name="Rule ID"/>
    <x:tableColumn id="2" name="Category"/>
    <x:tableColumn id="3" name="Rule"/>
    <x:tableColumn id="4" name="Status"/>
    <x:tableColumn id="5" name="Source Surface"/>
    <x:tableColumn id="6" name="Source URL"/>
    <x:tableColumn id="7" name="Conflict / Note"/>
  </x:tableColumns>
  <x:tableStyleInfo name="TableStyleMedium2" showFirstColumn="0" showLastColumn="0" showRowStripes="1" showColumnStripes="0"/>
</x:table>
</file>

<file path=xl/tables/table3.xml><?xml version="1.0" encoding="utf-8"?>
<x:table xmlns:x="http://schemas.openxmlformats.org/spreadsheetml/2006/main" id="3" name="ShemshOpenQuestions" displayName="ShemshOpenQuestions" ref="A4:H19" headerRowCount="1" totalsRowCount="0" totalsRowShown="0">
  <x:tableColumns count="8">
    <x:tableColumn id="1" name="ID"/>
    <x:tableColumn id="2" name="Type"/>
    <x:tableColumn id="3" name="Topic"/>
    <x:tableColumn id="4" name="Observed Gap"/>
    <x:tableColumn id="5" name="Priority"/>
    <x:tableColumn id="6" name="Owner"/>
    <x:tableColumn id="7" name="Recommended Next Step"/>
    <x:tableColumn id="8"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eea81a1ffe3d45c3" /></Relationships>
</file>

<file path=xl/worksheets/_rels/sheet3.xml.rels>&#65279;<?xml version="1.0" encoding="utf-8"?><Relationships xmlns="http://schemas.openxmlformats.org/package/2006/relationships"><Relationship Type="http://schemas.openxmlformats.org/officeDocument/2006/relationships/table" Target="/xl/tables/table2.xml" Id="Re406dc6429d44e74" /></Relationships>
</file>

<file path=xl/worksheets/_rels/sheet4.xml.rels>&#65279;<?xml version="1.0" encoding="utf-8"?><Relationships xmlns="http://schemas.openxmlformats.org/package/2006/relationships"><Relationship Type="http://schemas.openxmlformats.org/officeDocument/2006/relationships/table" Target="/xl/tables/table3.xml" Id="Rf53cd41f5bc149b1"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17" hidden="0" customWidth="1"/>
    <x:col min="3" max="3" width="17" hidden="0" customWidth="1"/>
    <x:col min="4" max="4" width="18" hidden="0" customWidth="1"/>
    <x:col min="5" max="5" width="18" hidden="0" customWidth="1"/>
    <x:col min="6" max="6" width="18" hidden="0" customWidth="1"/>
    <x:col min="7" max="7" width="18" hidden="0" customWidth="1"/>
    <x:col min="8" max="8" width="18" hidden="0" customWidth="1"/>
  </x:cols>
  <x:sheetData>
    <x:row r="1" ht="34" customHeight="1">
      <x:c r="A1" s="114" t="str">
        <x:v>Shemsh Feature Inventory — وضعیت محصول فعلی</x:v>
      </x:c>
      <x:c r="B1" s="114"/>
      <x:c r="C1" s="114"/>
      <x:c r="D1" s="114"/>
      <x:c r="E1" s="114"/>
      <x:c r="F1" s="114"/>
      <x:c r="G1" s="114"/>
      <x:c r="H1" s="114"/>
    </x:row>
    <x:row r="2" ht="26" customHeight="1">
      <x:c r="A2" s="115" t="str">
        <x:v>بررسی زنده shemsh.ir و پنل لاگین‌شده | تاریخ بررسی: ۱۴۰۵/۰۴/۲۴ (2026-07-15)</x:v>
      </x:c>
      <x:c r="B2" s="115"/>
      <x:c r="C2" s="115"/>
      <x:c r="D2" s="115"/>
      <x:c r="E2" s="115"/>
      <x:c r="F2" s="115"/>
      <x:c r="G2" s="115"/>
      <x:c r="H2" s="115"/>
    </x:row>
    <x:row r="3">
      <x:c r="A3" s="116"/>
      <x:c r="B3" s="116"/>
      <x:c r="C3" s="116"/>
      <x:c r="D3" s="116"/>
      <x:c r="E3" s="116"/>
      <x:c r="F3" s="116"/>
      <x:c r="G3" s="116"/>
      <x:c r="H3" s="116"/>
    </x:row>
    <x:row r="4">
      <x:c r="A4" s="117" t="str">
        <x:v>شاخص</x:v>
      </x:c>
      <x:c r="B4" s="118" t="str">
        <x:v>مقدار</x:v>
      </x:c>
      <x:c r="C4" s="116"/>
      <x:c r="D4" s="119" t="str">
        <x:v>جمع‌بندی وضعیت فعلی</x:v>
      </x:c>
      <x:c r="E4" s="119"/>
      <x:c r="F4" s="119"/>
      <x:c r="G4" s="119"/>
      <x:c r="H4" s="119"/>
    </x:row>
    <x:row r="5">
      <x:c r="A5" s="120" t="str">
        <x:v>کل قابلیت‌ها</x:v>
      </x:c>
      <x:c r="B5" s="121" t="n">
        <x:f>COUNTA('Feature Inventory'!$A$5:$A$71)</x:f>
        <x:v>67</x:v>
      </x:c>
      <x:c r="C5" s="116"/>
      <x:c r="D5" s="122" t="str">
        <x:v>هسته خرید، فروش، کیف پول، تراکنش و رسید فعال و قابل مشاهده است. دریافت فیزیکی و اقساط فعال اما مشروط به پیش‌نیاز هستند. انتقال طلا فعلاً غیرفعال و خرید کارت هدیه به‌زودی است. مهم‌ترین ریسک مستندات، اختلاف سقف‌های روزانه میان FAQ و مودال زنده است. مزیت راهبردی «ضرب شمش توسط خود شمش» نیز در تجربه فعلی به‌اندازه کافی برجسته نشده است.</x:v>
      </x:c>
      <x:c r="E5" s="123"/>
      <x:c r="F5" s="123"/>
      <x:c r="G5" s="123"/>
      <x:c r="H5" s="124"/>
    </x:row>
    <x:row r="6">
      <x:c r="A6" s="120" t="str">
        <x:v>مشاهده‌شده</x:v>
      </x:c>
      <x:c r="B6" s="121" t="n">
        <x:f>SUMPRODUCT(--('Feature Inventory'!$K$5:$K$71="مشاهده‌شده"))</x:f>
        <x:v>65</x:v>
      </x:c>
      <x:c r="C6" s="116"/>
      <x:c r="D6" s="125"/>
      <x:c r="E6" s="126"/>
      <x:c r="F6" s="126"/>
      <x:c r="G6" s="126"/>
      <x:c r="H6" s="127"/>
    </x:row>
    <x:row r="7">
      <x:c r="A7" s="120" t="str">
        <x:v>فعال</x:v>
      </x:c>
      <x:c r="B7" s="121" t="n">
        <x:f>SUMPRODUCT(--('Feature Inventory'!$L$5:$L$71="فعال"))</x:f>
        <x:v>57</x:v>
      </x:c>
      <x:c r="C7" s="116"/>
      <x:c r="D7" s="125"/>
      <x:c r="E7" s="126"/>
      <x:c r="F7" s="126"/>
      <x:c r="G7" s="126"/>
      <x:c r="H7" s="127"/>
    </x:row>
    <x:row r="8">
      <x:c r="A8" s="120" t="str">
        <x:v>فعال مشروط/محدود</x:v>
      </x:c>
      <x:c r="B8" s="121" t="n">
        <x:f>SUMPRODUCT(--('Feature Inventory'!$L$5:$L$71="فعال مشروط"))+SUMPRODUCT(--('Feature Inventory'!$L$5:$L$71="فعال محدود"))+SUMPRODUCT(--('Feature Inventory'!$L$5:$L$71="محدود"))</x:f>
        <x:v>3</x:v>
      </x:c>
      <x:c r="C8" s="116"/>
      <x:c r="D8" s="125"/>
      <x:c r="E8" s="126"/>
      <x:c r="F8" s="126"/>
      <x:c r="G8" s="126"/>
      <x:c r="H8" s="127"/>
    </x:row>
    <x:row r="9">
      <x:c r="A9" s="128" t="str">
        <x:v>غیرفعال یا به‌زودی</x:v>
      </x:c>
      <x:c r="B9" s="129" t="n">
        <x:f>SUMPRODUCT(--('Feature Inventory'!$L$5:$L$71="غیرفعال"))+SUMPRODUCT(--('Feature Inventory'!$L$5:$L$71="به‌زودی"))</x:f>
        <x:v>2</x:v>
      </x:c>
      <x:c r="C9" s="116"/>
      <x:c r="D9" s="125"/>
      <x:c r="E9" s="126"/>
      <x:c r="F9" s="126"/>
      <x:c r="G9" s="126"/>
      <x:c r="H9" s="127"/>
    </x:row>
    <x:row r="10">
      <x:c r="A10" s="116"/>
      <x:c r="B10" s="116"/>
      <x:c r="C10" s="116"/>
      <x:c r="D10" s="130"/>
      <x:c r="E10" s="131"/>
      <x:c r="F10" s="131"/>
      <x:c r="G10" s="131"/>
      <x:c r="H10" s="132"/>
    </x:row>
    <x:row r="11">
      <x:c r="A11" s="116"/>
      <x:c r="B11" s="116"/>
      <x:c r="C11" s="116"/>
      <x:c r="D11" s="116"/>
      <x:c r="E11" s="116"/>
      <x:c r="F11" s="116"/>
      <x:c r="G11" s="116"/>
      <x:c r="H11" s="116"/>
    </x:row>
    <x:row r="12">
      <x:c r="A12" s="133" t="str">
        <x:v>روش و محدوده بررسی</x:v>
      </x:c>
      <x:c r="B12" s="133"/>
      <x:c r="C12" s="133"/>
      <x:c r="D12" s="133"/>
      <x:c r="E12" s="133"/>
      <x:c r="F12" s="133"/>
      <x:c r="G12" s="133"/>
      <x:c r="H12" s="133"/>
    </x:row>
    <x:row r="13">
      <x:c r="A13" s="134" t="str">
        <x:v>منابع: مشاهده مستقیم سایت عمومی shemsh.ir، پنل shemsh.gold/app پس از ورود، قوانین و FAQ، رسیدهای موجود و شواهد تصویری داخل پروژه. هیچ خرید، فروش، واریز، برداشت، انتقال، پذیرش قرارداد یا درخواست نهایی جدیدی ثبت نشد. اطلاعات شخصی حساب از خروجی حذف شده‌اند. قابلیت‌هایی که به موجودی، کارت هدیه معتبر، حساب جدید یا اقدام مالی نیاز داشتند با وضعیت «فعال مشروط»، «تأییدنشده» یا «قابل‌دسترسی‌نبود» مشخص شده‌اند.</x:v>
      </x:c>
      <x:c r="B13" s="135"/>
      <x:c r="C13" s="135"/>
      <x:c r="D13" s="135"/>
      <x:c r="E13" s="135"/>
      <x:c r="F13" s="135"/>
      <x:c r="G13" s="135"/>
      <x:c r="H13" s="136"/>
    </x:row>
    <x:row r="14">
      <x:c r="A14" s="137"/>
      <x:c r="B14" s="138"/>
      <x:c r="C14" s="138"/>
      <x:c r="D14" s="138"/>
      <x:c r="E14" s="138"/>
      <x:c r="F14" s="138"/>
      <x:c r="G14" s="138"/>
      <x:c r="H14" s="139"/>
    </x:row>
    <x:row r="15">
      <x:c r="A15" s="137"/>
      <x:c r="B15" s="138"/>
      <x:c r="C15" s="138"/>
      <x:c r="D15" s="138"/>
      <x:c r="E15" s="138"/>
      <x:c r="F15" s="138"/>
      <x:c r="G15" s="138"/>
      <x:c r="H15" s="139"/>
    </x:row>
    <x:row r="16">
      <x:c r="A16" s="137"/>
      <x:c r="B16" s="138"/>
      <x:c r="C16" s="138"/>
      <x:c r="D16" s="138"/>
      <x:c r="E16" s="138"/>
      <x:c r="F16" s="138"/>
      <x:c r="G16" s="138"/>
      <x:c r="H16" s="139"/>
    </x:row>
    <x:row r="17">
      <x:c r="A17" s="140"/>
      <x:c r="B17" s="141"/>
      <x:c r="C17" s="141"/>
      <x:c r="D17" s="141"/>
      <x:c r="E17" s="141"/>
      <x:c r="F17" s="141"/>
      <x:c r="G17" s="141"/>
      <x:c r="H17" s="142"/>
    </x:row>
    <x:row r="18">
      <x:c r="A18" s="116"/>
      <x:c r="B18" s="116"/>
      <x:c r="C18" s="116"/>
      <x:c r="D18" s="116"/>
      <x:c r="E18" s="116"/>
      <x:c r="F18" s="116"/>
      <x:c r="G18" s="116"/>
      <x:c r="H18" s="116"/>
    </x:row>
    <x:row r="19">
      <x:c r="A19" s="143" t="str">
        <x:v>راهنمای شیت‌ها: Feature Inventory = فهرست کامل | Business Rules = قوانین و محدودیت‌ها | Open Questions = تعارض‌ها و موارد باز</x:v>
      </x:c>
      <x:c r="B19" s="143"/>
      <x:c r="C19" s="143"/>
      <x:c r="D19" s="143"/>
      <x:c r="E19" s="143"/>
      <x:c r="F19" s="143"/>
      <x:c r="G19" s="143"/>
      <x:c r="H19" s="143"/>
    </x:row>
  </x:sheetData>
  <x:mergeCells>
    <x:mergeCell ref="A1:H1"/>
    <x:mergeCell ref="A2:H2"/>
    <x:mergeCell ref="D4:H4"/>
    <x:mergeCell ref="D5:H10"/>
    <x:mergeCell ref="A12:H12"/>
    <x:mergeCell ref="A13:H17"/>
    <x:mergeCell ref="A19:H19"/>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4" hidden="0" customWidth="1"/>
    <x:col min="2" max="2" width="14" hidden="0" customWidth="1"/>
    <x:col min="3" max="3" width="23" hidden="0" customWidth="1"/>
    <x:col min="4" max="4" width="30" hidden="0" customWidth="1"/>
    <x:col min="5" max="5" width="30" hidden="0" customWidth="1"/>
    <x:col min="6" max="6" width="24" hidden="0" customWidth="1"/>
    <x:col min="7" max="7" width="24" hidden="0" customWidth="1"/>
    <x:col min="8" max="8" width="19" hidden="0" customWidth="1"/>
    <x:col min="9" max="9" width="19" hidden="0" customWidth="1"/>
    <x:col min="10" max="10" width="19" hidden="0" customWidth="1"/>
    <x:col min="11" max="11" width="17" hidden="0" customWidth="1"/>
    <x:col min="12" max="12" width="17" hidden="0" customWidth="1"/>
    <x:col min="13" max="13" width="17" hidden="0" customWidth="1"/>
    <x:col min="14" max="14" width="36" hidden="0" customWidth="1"/>
    <x:col min="15" max="15" width="22" hidden="0" customWidth="1"/>
    <x:col min="16" max="16" width="22" hidden="0" customWidth="1"/>
    <x:col min="17" max="17" width="34" hidden="0" customWidth="1"/>
    <x:col min="18" max="18" width="27" hidden="0" customWidth="1"/>
    <x:col min="19" max="19" width="34" hidden="0" customWidth="1"/>
    <x:col min="20" max="20" width="16" hidden="0" customWidth="1"/>
  </x:cols>
  <x:sheetData>
    <x:row r="1" ht="32" customHeight="1">
      <x:c r="A1" s="144" t="str">
        <x:v>فهرست قابلیت‌های فعلی شمش</x:v>
      </x:c>
      <x:c r="B1" s="144"/>
      <x:c r="C1" s="144"/>
      <x:c r="D1" s="144"/>
      <x:c r="E1" s="144"/>
      <x:c r="F1" s="144"/>
      <x:c r="G1" s="144"/>
      <x:c r="H1" s="144"/>
      <x:c r="I1" s="144"/>
      <x:c r="J1" s="144"/>
      <x:c r="K1" s="144"/>
      <x:c r="L1" s="144"/>
      <x:c r="M1" s="144"/>
      <x:c r="N1" s="144"/>
      <x:c r="O1" s="144"/>
      <x:c r="P1" s="144"/>
      <x:c r="Q1" s="144"/>
      <x:c r="R1" s="144"/>
      <x:c r="S1" s="144"/>
      <x:c r="T1" s="144"/>
    </x:row>
    <x:row r="2" ht="24" customHeight="1">
      <x:c r="A2" s="115" t="str">
        <x:v>Observed inventory — تفکیک قابلیت مشاهده‌شده، وضعیت ارائه، پیش‌نیاز مالی، قانون کسب‌وکار و شواهد</x:v>
      </x:c>
      <x:c r="B2" s="115"/>
      <x:c r="C2" s="115"/>
      <x:c r="D2" s="115"/>
      <x:c r="E2" s="115"/>
      <x:c r="F2" s="115"/>
      <x:c r="G2" s="115"/>
      <x:c r="H2" s="115"/>
      <x:c r="I2" s="115"/>
      <x:c r="J2" s="115"/>
      <x:c r="K2" s="115"/>
      <x:c r="L2" s="115"/>
      <x:c r="M2" s="115"/>
      <x:c r="N2" s="115"/>
      <x:c r="O2" s="115"/>
      <x:c r="P2" s="115"/>
      <x:c r="Q2" s="115"/>
      <x:c r="R2" s="115"/>
      <x:c r="S2" s="115"/>
      <x:c r="T2" s="115"/>
    </x:row>
    <x:row r="3">
      <x:c r="A3" s="116"/>
      <x:c r="B3" s="116"/>
      <x:c r="C3" s="116"/>
      <x:c r="D3" s="116"/>
      <x:c r="E3" s="116"/>
      <x:c r="F3" s="116"/>
      <x:c r="G3" s="116"/>
      <x:c r="H3" s="116"/>
      <x:c r="I3" s="116"/>
      <x:c r="J3" s="116"/>
      <x:c r="K3" s="116"/>
      <x:c r="L3" s="116"/>
      <x:c r="M3" s="116"/>
      <x:c r="N3" s="116"/>
      <x:c r="O3" s="116"/>
      <x:c r="P3" s="116"/>
      <x:c r="Q3" s="116"/>
      <x:c r="R3" s="116"/>
      <x:c r="S3" s="116"/>
      <x:c r="T3" s="116"/>
    </x:row>
    <x:row r="4" ht="34" customHeight="1">
      <x:c r="A4" s="145" t="str">
        <x:v>Feature ID</x:v>
      </x:c>
      <x:c r="B4" s="145" t="str">
        <x:v>Category</x:v>
      </x:c>
      <x:c r="C4" s="145" t="str">
        <x:v>Feature Name</x:v>
      </x:c>
      <x:c r="D4" s="145" t="str">
        <x:v>Description</x:v>
      </x:c>
      <x:c r="E4" s="145" t="str">
        <x:v>User Benefit</x:v>
      </x:c>
      <x:c r="F4" s="145" t="str">
        <x:v>Location</x:v>
      </x:c>
      <x:c r="G4" s="145" t="str">
        <x:v>Entry Point</x:v>
      </x:c>
      <x:c r="H4" s="145" t="str">
        <x:v>Access Requirement</x:v>
      </x:c>
      <x:c r="I4" s="145" t="str">
        <x:v>KYC Requirement</x:v>
      </x:c>
      <x:c r="J4" s="145" t="str">
        <x:v>Financial Requirement</x:v>
      </x:c>
      <x:c r="K4" s="145" t="str">
        <x:v>Observed Status</x:v>
      </x:c>
      <x:c r="L4" s="145" t="str">
        <x:v>Availability</x:v>
      </x:c>
      <x:c r="M4" s="145" t="str">
        <x:v>Platform</x:v>
      </x:c>
      <x:c r="N4" s="145" t="str">
        <x:v>Business Rule</x:v>
      </x:c>
      <x:c r="O4" s="145" t="str">
        <x:v>Fee</x:v>
      </x:c>
      <x:c r="P4" s="145" t="str">
        <x:v>Limit</x:v>
      </x:c>
      <x:c r="Q4" s="145" t="str">
        <x:v>Evidence</x:v>
      </x:c>
      <x:c r="R4" s="145" t="str">
        <x:v>Screenshot ID</x:v>
      </x:c>
      <x:c r="S4" s="145" t="str">
        <x:v>Notes</x:v>
      </x:c>
      <x:c r="T4" s="145" t="str">
        <x:v>Comparison Tag</x:v>
      </x:c>
    </x:row>
    <x:row r="5">
      <x:c r="A5" s="146" t="str">
        <x:v>SH-PUB-001</x:v>
      </x:c>
      <x:c r="B5" s="147" t="str">
        <x:v>سایت عمومی</x:v>
      </x:c>
      <x:c r="C5" s="147" t="str">
        <x:v>خانه عمومی</x:v>
      </x:c>
      <x:c r="D5" s="147" t="str">
        <x:v>معرفی شمش به‌عنوان پلتفرم خرید و سرمایه‌گذاری آنلاین طلای آب‌شده</x:v>
      </x:c>
      <x:c r="E5" s="147" t="str">
        <x:v>آشنایی، اعتماد و شروع استفاده</x:v>
      </x:c>
      <x:c r="F5" s="147" t="str">
        <x:v>https://shemsh.ir/</x:v>
      </x:c>
      <x:c r="G5" s="147" t="str">
        <x:v>ورود مستقیم</x:v>
      </x:c>
      <x:c r="H5" s="147" t="str">
        <x:v>ندارد</x:v>
      </x:c>
      <x:c r="I5" s="147" t="str">
        <x:v>ندارد</x:v>
      </x:c>
      <x:c r="J5" s="147" t="str">
        <x:v>ندارد</x:v>
      </x:c>
      <x:c r="K5" s="148" t="str">
        <x:v>مشاهده‌شده</x:v>
      </x:c>
      <x:c r="L5" s="148" t="str">
        <x:v>فعال</x:v>
      </x:c>
      <x:c r="M5" s="147" t="str">
        <x:v>Public Web</x:v>
      </x:c>
      <x:c r="N5" s="147" t="str">
        <x:v>پیام اصلی بر خرید آنلاین، امنیت و نبود سود و اجرت تأکید دارد</x:v>
      </x:c>
      <x:c r="O5" s="147" t="str">
        <x:v>ندارد</x:v>
      </x:c>
      <x:c r="P5" s="147" t="str">
        <x:v>ندارد</x:v>
      </x:c>
      <x:c r="Q5" s="147" t="str">
        <x:v>مشاهده مستقیم صفحه عمومی در ۱۴۰۵/۰۴/۲۴</x:v>
      </x:c>
      <x:c r="R5" s="147" t="str">
        <x:v>landing-page-full.png</x:v>
      </x:c>
      <x:c r="S5" s="147" t="str">
        <x:v>نسخه عمومی به پنل shemsh.gold متصل است</x:v>
      </x:c>
      <x:c r="T5" s="147" t="str">
        <x:v>Public</x:v>
      </x:c>
    </x:row>
    <x:row r="6">
      <x:c r="A6" s="146" t="str">
        <x:v>SH-PUB-002</x:v>
      </x:c>
      <x:c r="B6" s="147" t="str">
        <x:v>قیمت</x:v>
      </x:c>
      <x:c r="C6" s="147" t="str">
        <x:v>قیمت لحظه‌ای یک سوت</x:v>
      </x:c>
      <x:c r="D6" s="147" t="str">
        <x:v>نمایش قیمت فعلی یک سوت طلای ۱۸ عیار و درصد تغییر</x:v>
      </x:c>
      <x:c r="E6" s="147" t="str">
        <x:v>درک سریع هزینه ورود با مبلغ کم</x:v>
      </x:c>
      <x:c r="F6" s="147" t="str">
        <x:v>/ و /app/home</x:v>
      </x:c>
      <x:c r="G6" s="147" t="str">
        <x:v>خانه عمومی و داشبورد</x:v>
      </x:c>
      <x:c r="H6" s="147" t="str">
        <x:v>ندارد</x:v>
      </x:c>
      <x:c r="I6" s="147" t="str">
        <x:v>ندارد</x:v>
      </x:c>
      <x:c r="J6" s="147" t="str">
        <x:v>ندارد</x:v>
      </x:c>
      <x:c r="K6" s="148" t="str">
        <x:v>مشاهده‌شده</x:v>
      </x:c>
      <x:c r="L6" s="148" t="str">
        <x:v>فعال</x:v>
      </x:c>
      <x:c r="M6" s="147" t="str">
        <x:v>Public/PWA</x:v>
      </x:c>
      <x:c r="N6" s="147" t="str">
        <x:v>هر ۱۰۰۰ سوت معادل ۱ گرم اعلام شده است</x:v>
      </x:c>
      <x:c r="O6" s="147" t="str">
        <x:v>نامشخص</x:v>
      </x:c>
      <x:c r="P6" s="147" t="str">
        <x:v>ندارد</x:v>
      </x:c>
      <x:c r="Q6" s="147" t="str">
        <x:v>قیمت یک سوت در خانه عمومی و پنل مشاهده شد</x:v>
      </x:c>
      <x:c r="R6" s="147" t="str">
        <x:v>app-home-viewport.png</x:v>
      </x:c>
      <x:c r="S6" s="147" t="str">
        <x:v>قیمت عددی لحظه‌ای است و در فایل ثابت نشده</x:v>
      </x:c>
      <x:c r="T6" s="147" t="str">
        <x:v>Price</x:v>
      </x:c>
    </x:row>
    <x:row r="7">
      <x:c r="A7" s="146" t="str">
        <x:v>SH-PUB-003</x:v>
      </x:c>
      <x:c r="B7" s="147" t="str">
        <x:v>قیمت</x:v>
      </x:c>
      <x:c r="C7" s="147" t="str">
        <x:v>قیمت یک گرم طلا</x:v>
      </x:c>
      <x:c r="D7" s="147" t="str">
        <x:v>نمایش قیمت فعلی یک گرم طلای ۱۸ عیار و تغییر</x:v>
      </x:c>
      <x:c r="E7" s="147" t="str">
        <x:v>مقایسه و تصمیم‌گیری سرمایه‌گذاری</x:v>
      </x:c>
      <x:c r="F7" s="147" t="str">
        <x:v>/ و /app/home</x:v>
      </x:c>
      <x:c r="G7" s="147" t="str">
        <x:v>خانه</x:v>
      </x:c>
      <x:c r="H7" s="147" t="str">
        <x:v>ندارد</x:v>
      </x:c>
      <x:c r="I7" s="147" t="str">
        <x:v>ندارد</x:v>
      </x:c>
      <x:c r="J7" s="147" t="str">
        <x:v>ندارد</x:v>
      </x:c>
      <x:c r="K7" s="148" t="str">
        <x:v>مشاهده‌شده</x:v>
      </x:c>
      <x:c r="L7" s="148" t="str">
        <x:v>فعال</x:v>
      </x:c>
      <x:c r="M7" s="147" t="str">
        <x:v>Public/PWA</x:v>
      </x:c>
      <x:c r="N7" s="147" t="str">
        <x:v>قیمت یک گرم از قیمت لحظه‌ای بازار نمایش داده می‌شود</x:v>
      </x:c>
      <x:c r="O7" s="147" t="str">
        <x:v>ندارد</x:v>
      </x:c>
      <x:c r="P7" s="147" t="str">
        <x:v>ندارد</x:v>
      </x:c>
      <x:c r="Q7" s="147" t="str">
        <x:v>کارت قیمت یک گرم در داشبورد مشاهده شد</x:v>
      </x:c>
      <x:c r="R7" s="147" t="str">
        <x:v>panel-home-logged-in.jpg</x:v>
      </x:c>
      <x:c r="S7" s="147" t="str">
        <x:v>قیمت لحظه‌ای در زمان بررسی ۱۸۰,۶۷۰,۰۰۰ ریال بود</x:v>
      </x:c>
      <x:c r="T7" s="147" t="str">
        <x:v>Price</x:v>
      </x:c>
    </x:row>
    <x:row r="8">
      <x:c r="A8" s="146" t="str">
        <x:v>SH-PUB-004</x:v>
      </x:c>
      <x:c r="B8" s="147" t="str">
        <x:v>قیمت</x:v>
      </x:c>
      <x:c r="C8" s="147" t="str">
        <x:v>نمودار قیمت</x:v>
      </x:c>
      <x:c r="D8" s="147" t="str">
        <x:v>نمودار قیمت با بازه‌های ۲۴ ساعت، ۷ روز و ۳۰ روز</x:v>
      </x:c>
      <x:c r="E8" s="147" t="str">
        <x:v>مشاهده روند کوتاه‌مدت قیمت</x:v>
      </x:c>
      <x:c r="F8" s="147" t="str">
        <x:v>/ و /app/home</x:v>
      </x:c>
      <x:c r="G8" s="147" t="str">
        <x:v>خانه</x:v>
      </x:c>
      <x:c r="H8" s="147" t="str">
        <x:v>ندارد</x:v>
      </x:c>
      <x:c r="I8" s="147" t="str">
        <x:v>ندارد</x:v>
      </x:c>
      <x:c r="J8" s="147" t="str">
        <x:v>ندارد</x:v>
      </x:c>
      <x:c r="K8" s="148" t="str">
        <x:v>مشاهده‌شده</x:v>
      </x:c>
      <x:c r="L8" s="148" t="str">
        <x:v>فعال</x:v>
      </x:c>
      <x:c r="M8" s="147" t="str">
        <x:v>Public/PWA</x:v>
      </x:c>
      <x:c r="N8" s="147" t="str">
        <x:v>بازه پیش‌فرض ۲۴ ساعت است</x:v>
      </x:c>
      <x:c r="O8" s="147" t="str">
        <x:v>ندارد</x:v>
      </x:c>
      <x:c r="P8" s="147" t="str">
        <x:v>ندارد</x:v>
      </x:c>
      <x:c r="Q8" s="147" t="str">
        <x:v>سه کنترل بازه زمانی و سقف/کف دیده شد</x:v>
      </x:c>
      <x:c r="R8" s="147" t="str">
        <x:v>panel-home-logged-in.jpg</x:v>
      </x:c>
      <x:c r="S8" s="147" t="str">
        <x:v>عمق تعامل نمودار بررسی نشد</x:v>
      </x:c>
      <x:c r="T8" s="147" t="str">
        <x:v>Chart</x:v>
      </x:c>
    </x:row>
    <x:row r="9">
      <x:c r="A9" s="146" t="str">
        <x:v>SH-PUB-005</x:v>
      </x:c>
      <x:c r="B9" s="147" t="str">
        <x:v>بازاریابی</x:v>
      </x:c>
      <x:c r="C9" s="147" t="str">
        <x:v>معرفی خرید اقساطی</x:v>
      </x:c>
      <x:c r="D9" s="147" t="str">
        <x:v>بنر و لینک خرید اقساطی در خانه و ناوبری عمومی</x:v>
      </x:c>
      <x:c r="E9" s="147" t="str">
        <x:v>آگاهی از امکان خرید با اعتبار</x:v>
      </x:c>
      <x:c r="F9" s="147" t="str">
        <x:v>/ و /app/home</x:v>
      </x:c>
      <x:c r="G9" s="147" t="str">
        <x:v>بنر خرید اقساطی</x:v>
      </x:c>
      <x:c r="H9" s="147" t="str">
        <x:v>عمومی برای معرفی؛ ورود برای اقدام</x:v>
      </x:c>
      <x:c r="I9" s="147" t="str">
        <x:v>برای اقدام لازم</x:v>
      </x:c>
      <x:c r="J9" s="147" t="str">
        <x:v>ندارد</x:v>
      </x:c>
      <x:c r="K9" s="148" t="str">
        <x:v>مشاهده‌شده</x:v>
      </x:c>
      <x:c r="L9" s="148" t="str">
        <x:v>فعال</x:v>
      </x:c>
      <x:c r="M9" s="147" t="str">
        <x:v>Public/PWA</x:v>
      </x:c>
      <x:c r="N9" s="147" t="str">
        <x:v>بدون ضامن و بدون سپرده در بنر پنل معرفی شده است</x:v>
      </x:c>
      <x:c r="O9" s="147" t="str">
        <x:v>طبق طرح</x:v>
      </x:c>
      <x:c r="P9" s="147" t="str">
        <x:v>۱۰۰ تا ۷۰۰ میلیون ریال در محاسبه‌گر فعلی</x:v>
      </x:c>
      <x:c r="Q9" s="147" t="str">
        <x:v>بنر و مسیر /app/installment-purchase مشاهده شد</x:v>
      </x:c>
      <x:c r="R9" s="147" t="str">
        <x:v>installment.png</x:v>
      </x:c>
      <x:c r="S9" s="147" t="str">
        <x:v>شرایط حقوقی تفصیلی در صفحه جداگانه است</x:v>
      </x:c>
      <x:c r="T9" s="147" t="str">
        <x:v>Installment</x:v>
      </x:c>
    </x:row>
    <x:row r="10">
      <x:c r="A10" s="146" t="str">
        <x:v>SH-PUB-006</x:v>
      </x:c>
      <x:c r="B10" s="147" t="str">
        <x:v>بازاریابی</x:v>
      </x:c>
      <x:c r="C10" s="147" t="str">
        <x:v>معرفی کارت هدیه</x:v>
      </x:c>
      <x:c r="D10" s="147" t="str">
        <x:v>معرفی شمش‌کارت و هدایت به تبدیل یا خرید کارت هدیه</x:v>
      </x:c>
      <x:c r="E10" s="147" t="str">
        <x:v>آگاهی از هدیه مبتنی بر طلا</x:v>
      </x:c>
      <x:c r="F10" s="147" t="str">
        <x:v>/ و /app/gift-card</x:v>
      </x:c>
      <x:c r="G10" s="147" t="str">
        <x:v>خانه و فوتر</x:v>
      </x:c>
      <x:c r="H10" s="147" t="str">
        <x:v>برای تبدیل نیاز به ورود</x:v>
      </x:c>
      <x:c r="I10" s="147" t="str">
        <x:v>نامشخص</x:v>
      </x:c>
      <x:c r="J10" s="147" t="str">
        <x:v>کارت معتبر برای تبدیل</x:v>
      </x:c>
      <x:c r="K10" s="148" t="str">
        <x:v>مشاهده‌شده</x:v>
      </x:c>
      <x:c r="L10" s="148" t="str">
        <x:v>محدود</x:v>
      </x:c>
      <x:c r="M10" s="147" t="str">
        <x:v>Public/PWA</x:v>
      </x:c>
      <x:c r="N10" s="147" t="str">
        <x:v>تبدیل کارت فعال است اما خرید کارت به‌زودی است</x:v>
      </x:c>
      <x:c r="O10" s="147" t="str">
        <x:v>نامشخص</x:v>
      </x:c>
      <x:c r="P10" s="147" t="str">
        <x:v>نامشخص</x:v>
      </x:c>
      <x:c r="Q10" s="147" t="str">
        <x:v>لندینگ کارت هدیه را معرفی می‌کند؛ پنل خرید را به‌زودی نشان می‌دهد</x:v>
      </x:c>
      <x:c r="R10" s="147" t="str">
        <x:v>panel-gift-card.jpg</x:v>
      </x:c>
      <x:c r="S10" s="147" t="str">
        <x:v>پیام عمومی و وضعیت پنل هم‌راستا نیستند</x:v>
      </x:c>
      <x:c r="T10" s="147" t="str">
        <x:v>GiftCard</x:v>
      </x:c>
    </x:row>
    <x:row r="11">
      <x:c r="A11" s="146" t="str">
        <x:v>SH-PUB-007</x:v>
      </x:c>
      <x:c r="B11" s="147" t="str">
        <x:v>اعتماد</x:v>
      </x:c>
      <x:c r="C11" s="147" t="str">
        <x:v>پشتوانه بانک کارگشایی</x:v>
      </x:c>
      <x:c r="D11" s="147" t="str">
        <x:v>اعلام نگهداری امن موجودی طلای کاربران در بانک کارگشایی</x:v>
      </x:c>
      <x:c r="E11" s="147" t="str">
        <x:v>کاهش نگرانی درباره پشتوانه دارایی</x:v>
      </x:c>
      <x:c r="F11" s="147" t="str">
        <x:v>/license و /app/permissions</x:v>
      </x:c>
      <x:c r="G11" s="147" t="str">
        <x:v>هدر و صفحه مجوزها</x:v>
      </x:c>
      <x:c r="H11" s="147" t="str">
        <x:v>ندارد</x:v>
      </x:c>
      <x:c r="I11" s="147" t="str">
        <x:v>ندارد</x:v>
      </x:c>
      <x:c r="J11" s="147" t="str">
        <x:v>ندارد</x:v>
      </x:c>
      <x:c r="K11" s="148" t="str">
        <x:v>مشاهده‌شده</x:v>
      </x:c>
      <x:c r="L11" s="148" t="str">
        <x:v>فعال</x:v>
      </x:c>
      <x:c r="M11" s="147" t="str">
        <x:v>Public/PWA</x:v>
      </x:c>
      <x:c r="N11" s="147" t="str">
        <x:v>موجودی طلا در بانک کارگشایی نگهداری می‌شود</x:v>
      </x:c>
      <x:c r="O11" s="147" t="str">
        <x:v>ندارد</x:v>
      </x:c>
      <x:c r="P11" s="147" t="str">
        <x:v>ندارد</x:v>
      </x:c>
      <x:c r="Q11" s="147" t="str">
        <x:v>متن مستقیم در صفحات عمومی و پنل مشاهده شد</x:v>
      </x:c>
      <x:c r="R11" s="147" t="str">
        <x:v>license-page-full.png</x:v>
      </x:c>
      <x:c r="S11" s="147" t="str">
        <x:v>سند جزئی تخصیص دارایی به کاربر در UI مشاهده نشد</x:v>
      </x:c>
      <x:c r="T11" s="147" t="str">
        <x:v>Trust</x:v>
      </x:c>
    </x:row>
    <x:row r="12">
      <x:c r="A12" s="146" t="str">
        <x:v>SH-PUB-008</x:v>
      </x:c>
      <x:c r="B12" s="147" t="str">
        <x:v>اعتماد</x:v>
      </x:c>
      <x:c r="C12" s="147" t="str">
        <x:v>مجوزهای رسمی</x:v>
      </x:c>
      <x:c r="D12" s="147" t="str">
        <x:v>نمایش پروانه کسب، عضویت انجمن، اتاق بازرگانی، نظام صنفی، اینماد و شامد</x:v>
      </x:c>
      <x:c r="E12" s="147" t="str">
        <x:v>اعتبارسنجی قانونی کسب‌وکار</x:v>
      </x:c>
      <x:c r="F12" s="147" t="str">
        <x:v>/license و /app/permissions</x:v>
      </x:c>
      <x:c r="G12" s="147" t="str">
        <x:v>منوی عمومی و پروفایل</x:v>
      </x:c>
      <x:c r="H12" s="147" t="str">
        <x:v>ندارد</x:v>
      </x:c>
      <x:c r="I12" s="147" t="str">
        <x:v>ندارد</x:v>
      </x:c>
      <x:c r="J12" s="147" t="str">
        <x:v>ندارد</x:v>
      </x:c>
      <x:c r="K12" s="148" t="str">
        <x:v>مشاهده‌شده</x:v>
      </x:c>
      <x:c r="L12" s="148" t="str">
        <x:v>فعال</x:v>
      </x:c>
      <x:c r="M12" s="147" t="str">
        <x:v>Public/PWA</x:v>
      </x:c>
      <x:c r="N12" s="147" t="str">
        <x:v>برای چند مجوز لینک استعلام مستقیم ارائه شده است</x:v>
      </x:c>
      <x:c r="O12" s="147" t="str">
        <x:v>ندارد</x:v>
      </x:c>
      <x:c r="P12" s="147" t="str">
        <x:v>ندارد</x:v>
      </x:c>
      <x:c r="Q12" s="147" t="str">
        <x:v>صفحه مجوزها و لینک‌های استعلام مشاهده شدند</x:v>
      </x:c>
      <x:c r="R12" s="147" t="str">
        <x:v>panel-permissions.jpg</x:v>
      </x:c>
      <x:c r="S12" s="147" t="str">
        <x:v>برخی مجوزها در نسخه عمومی بیشتر از پنل فهرست شده‌اند</x:v>
      </x:c>
      <x:c r="T12" s="147" t="str">
        <x:v>Trust</x:v>
      </x:c>
    </x:row>
    <x:row r="13">
      <x:c r="A13" s="146" t="str">
        <x:v>SH-PUB-009</x:v>
      </x:c>
      <x:c r="B13" s="147" t="str">
        <x:v>حقوقی</x:v>
      </x:c>
      <x:c r="C13" s="147" t="str">
        <x:v>قوانین و مقررات عمومی</x:v>
      </x:c>
      <x:c r="D13" s="147" t="str">
        <x:v>شرایط عمومی حساب، کیف‌ها، خدمات، تعلیق، داده و هزینه‌ها</x:v>
      </x:c>
      <x:c r="E13" s="147" t="str">
        <x:v>شفافیت حقوق و تعهدات</x:v>
      </x:c>
      <x:c r="F13" s="147" t="str">
        <x:v>https://shemsh.ir/rules</x:v>
      </x:c>
      <x:c r="G13" s="147" t="str">
        <x:v>هدر و فوتر</x:v>
      </x:c>
      <x:c r="H13" s="147" t="str">
        <x:v>ندارد</x:v>
      </x:c>
      <x:c r="I13" s="147" t="str">
        <x:v>ندارد</x:v>
      </x:c>
      <x:c r="J13" s="147" t="str">
        <x:v>ندارد</x:v>
      </x:c>
      <x:c r="K13" s="148" t="str">
        <x:v>مشاهده‌شده</x:v>
      </x:c>
      <x:c r="L13" s="148" t="str">
        <x:v>فعال</x:v>
      </x:c>
      <x:c r="M13" s="147" t="str">
        <x:v>Public Web</x:v>
      </x:c>
      <x:c r="N13" s="147" t="str">
        <x:v>ثبت‌نام و ادامه استفاده به‌معنای پذیرش آخرین نسخه مقررات است</x:v>
      </x:c>
      <x:c r="O13" s="147" t="str">
        <x:v>مطابق خدمت</x:v>
      </x:c>
      <x:c r="P13" s="147" t="str">
        <x:v>مطابق خدمت</x:v>
      </x:c>
      <x:c r="Q13" s="147" t="str">
        <x:v>صفحه قوانین با ۸ بخش آکاردئونی مشاهده شد</x:v>
      </x:c>
      <x:c r="R13" s="147" t="str">
        <x:v>rules-page-full.png</x:v>
      </x:c>
      <x:c r="S13" s="147" t="str">
        <x:v>در پنل مسیر /rolls رفتار ناپایدار داشت</x:v>
      </x:c>
      <x:c r="T13" s="147" t="str">
        <x:v>Legal</x:v>
      </x:c>
    </x:row>
    <x:row r="14">
      <x:c r="A14" s="146" t="str">
        <x:v>SH-PUB-010</x:v>
      </x:c>
      <x:c r="B14" s="147" t="str">
        <x:v>شرکتی</x:v>
      </x:c>
      <x:c r="C14" s="147" t="str">
        <x:v>درباره شمش</x:v>
      </x:c>
      <x:c r="D14" s="147" t="str">
        <x:v>معرفی شرکت لیندا مهر آینده، هدف و ارزش‌های اعتماد</x:v>
      </x:c>
      <x:c r="E14" s="147" t="str">
        <x:v>شناخت ارائه‌دهنده خدمت</x:v>
      </x:c>
      <x:c r="F14" s="147" t="str">
        <x:v>/aboutus و /app/about-us</x:v>
      </x:c>
      <x:c r="G14" s="147" t="str">
        <x:v>منوی عمومی و پروفایل</x:v>
      </x:c>
      <x:c r="H14" s="147" t="str">
        <x:v>ندارد</x:v>
      </x:c>
      <x:c r="I14" s="147" t="str">
        <x:v>ندارد</x:v>
      </x:c>
      <x:c r="J14" s="147" t="str">
        <x:v>ندارد</x:v>
      </x:c>
      <x:c r="K14" s="148" t="str">
        <x:v>مشاهده‌شده</x:v>
      </x:c>
      <x:c r="L14" s="148" t="str">
        <x:v>فعال</x:v>
      </x:c>
      <x:c r="M14" s="147" t="str">
        <x:v>Public/PWA</x:v>
      </x:c>
      <x:c r="N14" s="147" t="str">
        <x:v>شماره ثبت ۶۴۰۸۵۶ در صفحه عمومی ذکر شده است</x:v>
      </x:c>
      <x:c r="O14" s="147" t="str">
        <x:v>ندارد</x:v>
      </x:c>
      <x:c r="P14" s="147" t="str">
        <x:v>ندارد</x:v>
      </x:c>
      <x:c r="Q14" s="147" t="str">
        <x:v>صفحه درباره شمش مشاهده شد</x:v>
      </x:c>
      <x:c r="R14" s="147" t="str">
        <x:v>about.png</x:v>
      </x:c>
      <x:c r="S14" s="147" t="str">
        <x:v>مزیت ضرب شمش توسط خود مجموعه در این صفحه برجسته نیست</x:v>
      </x:c>
      <x:c r="T14" s="147" t="str">
        <x:v>About</x:v>
      </x:c>
    </x:row>
    <x:row r="15">
      <x:c r="A15" s="146" t="str">
        <x:v>SH-PUB-011</x:v>
      </x:c>
      <x:c r="B15" s="147" t="str">
        <x:v>پشتیبانی</x:v>
      </x:c>
      <x:c r="C15" s="147" t="str">
        <x:v>تماس با شمش</x:v>
      </x:c>
      <x:c r="D15" s="147" t="str">
        <x:v>نمایش تلفن، ایمیل و نشانی دفتر مرکزی</x:v>
      </x:c>
      <x:c r="E15" s="147" t="str">
        <x:v>دسترسی به کانال‌های تماس</x:v>
      </x:c>
      <x:c r="F15" s="147" t="str">
        <x:v>/contactus و /app/contact-us</x:v>
      </x:c>
      <x:c r="G15" s="147" t="str">
        <x:v>هدر، فوتر و پروفایل</x:v>
      </x:c>
      <x:c r="H15" s="147" t="str">
        <x:v>ندارد</x:v>
      </x:c>
      <x:c r="I15" s="147" t="str">
        <x:v>ندارد</x:v>
      </x:c>
      <x:c r="J15" s="147" t="str">
        <x:v>ندارد</x:v>
      </x:c>
      <x:c r="K15" s="148" t="str">
        <x:v>مشاهده‌شده</x:v>
      </x:c>
      <x:c r="L15" s="148" t="str">
        <x:v>فعال</x:v>
      </x:c>
      <x:c r="M15" s="147" t="str">
        <x:v>Public/PWA</x:v>
      </x:c>
      <x:c r="N15" s="147" t="str">
        <x:v>تماس تلفنی و ایمیل مستقیم ارائه شده است</x:v>
      </x:c>
      <x:c r="O15" s="147" t="str">
        <x:v>ندارد</x:v>
      </x:c>
      <x:c r="P15" s="147" t="str">
        <x:v>ندارد</x:v>
      </x:c>
      <x:c r="Q15" s="147" t="str">
        <x:v>صفحه تماس و لینک‌های tel/mailto مشاهده شد</x:v>
      </x:c>
      <x:c r="R15" s="147" t="str">
        <x:v>contact.png</x:v>
      </x:c>
      <x:c r="S15" s="147" t="str">
        <x:v>فرم تیکت یا ساعات پاسخ‌گویی در صفحه عمومی نیست</x:v>
      </x:c>
      <x:c r="T15" s="147" t="str">
        <x:v>Support</x:v>
      </x:c>
    </x:row>
    <x:row r="16">
      <x:c r="A16" s="146" t="str">
        <x:v>SH-PUB-012</x:v>
      </x:c>
      <x:c r="B16" s="147" t="str">
        <x:v>محتوا</x:v>
      </x:c>
      <x:c r="C16" s="147" t="str">
        <x:v>وبلاگ شمش</x:v>
      </x:c>
      <x:c r="D16" s="147" t="str">
        <x:v>لینک به مجله و مقالات آموزشی بازار طلا</x:v>
      </x:c>
      <x:c r="E16" s="147" t="str">
        <x:v>آموزش و جذب ارگانیک</x:v>
      </x:c>
      <x:c r="F16" s="147" t="str">
        <x:v>https://shemsh.ir/mag/</x:v>
      </x:c>
      <x:c r="G16" s="147" t="str">
        <x:v>منوی عمومی و فوتر</x:v>
      </x:c>
      <x:c r="H16" s="147" t="str">
        <x:v>ندارد</x:v>
      </x:c>
      <x:c r="I16" s="147" t="str">
        <x:v>ندارد</x:v>
      </x:c>
      <x:c r="J16" s="147" t="str">
        <x:v>ندارد</x:v>
      </x:c>
      <x:c r="K16" s="148" t="str">
        <x:v>مشاهده‌شده</x:v>
      </x:c>
      <x:c r="L16" s="148" t="str">
        <x:v>فعال</x:v>
      </x:c>
      <x:c r="M16" s="147" t="str">
        <x:v>Public Web</x:v>
      </x:c>
      <x:c r="N16" s="147" t="str">
        <x:v>مقالات منتخب در خانه عمومی نمایش داده می‌شوند</x:v>
      </x:c>
      <x:c r="O16" s="147" t="str">
        <x:v>ندارد</x:v>
      </x:c>
      <x:c r="P16" s="147" t="str">
        <x:v>ندارد</x:v>
      </x:c>
      <x:c r="Q16" s="147" t="str">
        <x:v>لینک بلاگ و کارت مقالات مشاهده شد</x:v>
      </x:c>
      <x:c r="R16" s="147" t="str">
        <x:v>landing-page-full.png</x:v>
      </x:c>
      <x:c r="S16" s="147" t="str">
        <x:v>کیفیت و پوشش محتوایی ارزیابی نشد</x:v>
      </x:c>
      <x:c r="T16" s="147" t="str">
        <x:v>Content</x:v>
      </x:c>
    </x:row>
    <x:row r="17">
      <x:c r="A17" s="146" t="str">
        <x:v>SH-PUB-013</x:v>
      </x:c>
      <x:c r="B17" s="147" t="str">
        <x:v>اپلیکیشن</x:v>
      </x:c>
      <x:c r="C17" s="147" t="str">
        <x:v>دانلود اپلیکیشن اندروید</x:v>
      </x:c>
      <x:c r="D17" s="147" t="str">
        <x:v>لینک دانلود از کافه‌بازار و مایکت</x:v>
      </x:c>
      <x:c r="E17" s="147" t="str">
        <x:v>دسترسی موبایلی تکرارشونده</x:v>
      </x:c>
      <x:c r="F17" s="147" t="str">
        <x:v>فوتر عمومی</x:v>
      </x:c>
      <x:c r="G17" s="147" t="str">
        <x:v>دکمه دانلود اپلیکیشن</x:v>
      </x:c>
      <x:c r="H17" s="147" t="str">
        <x:v>ندارد</x:v>
      </x:c>
      <x:c r="I17" s="147" t="str">
        <x:v>ندارد</x:v>
      </x:c>
      <x:c r="J17" s="147" t="str">
        <x:v>ندارد</x:v>
      </x:c>
      <x:c r="K17" s="148" t="str">
        <x:v>مشاهده‌شده</x:v>
      </x:c>
      <x:c r="L17" s="148" t="str">
        <x:v>فعال</x:v>
      </x:c>
      <x:c r="M17" s="147" t="str">
        <x:v>Android</x:v>
      </x:c>
      <x:c r="N17" s="147" t="str">
        <x:v>لینک‌های مایکت و کافه‌بازار موجود است</x:v>
      </x:c>
      <x:c r="O17" s="147" t="str">
        <x:v>ندارد</x:v>
      </x:c>
      <x:c r="P17" s="147" t="str">
        <x:v>ندارد</x:v>
      </x:c>
      <x:c r="Q17" s="147" t="str">
        <x:v>href فروشگاه‌ها در صفحه عمومی مشاهده شد</x:v>
      </x:c>
      <x:c r="R17" s="147" t="str">
        <x:v>landing-page-full.png</x:v>
      </x:c>
      <x:c r="S17" s="147" t="str">
        <x:v>قوانین از iOS نام می‌برد اما لینک iOS مشاهده نشد</x:v>
      </x:c>
      <x:c r="T17" s="147" t="str">
        <x:v>App</x:v>
      </x:c>
    </x:row>
    <x:row r="18">
      <x:c r="A18" s="146" t="str">
        <x:v>SH-PUB-014</x:v>
      </x:c>
      <x:c r="B18" s="147" t="str">
        <x:v>شبکه اجتماعی</x:v>
      </x:c>
      <x:c r="C18" s="147" t="str">
        <x:v>لینک شبکه‌های اجتماعی</x:v>
      </x:c>
      <x:c r="D18" s="147" t="str">
        <x:v>دسترسی به اینستاگرام، تلگرام، لینکدین و آپارات</x:v>
      </x:c>
      <x:c r="E18" s="147" t="str">
        <x:v>پیگیری اخبار برند</x:v>
      </x:c>
      <x:c r="F18" s="147" t="str">
        <x:v>فوتر عمومی</x:v>
      </x:c>
      <x:c r="G18" s="147" t="str">
        <x:v>آیکن‌های اجتماعی</x:v>
      </x:c>
      <x:c r="H18" s="147" t="str">
        <x:v>ندارد</x:v>
      </x:c>
      <x:c r="I18" s="147" t="str">
        <x:v>ندارد</x:v>
      </x:c>
      <x:c r="J18" s="147" t="str">
        <x:v>ندارد</x:v>
      </x:c>
      <x:c r="K18" s="148" t="str">
        <x:v>مشاهده‌شده</x:v>
      </x:c>
      <x:c r="L18" s="148" t="str">
        <x:v>فعال</x:v>
      </x:c>
      <x:c r="M18" s="147" t="str">
        <x:v>Public Web</x:v>
      </x:c>
      <x:c r="N18" s="147" t="str">
        <x:v>لینک‌ها از فوتر باز می‌شوند</x:v>
      </x:c>
      <x:c r="O18" s="147" t="str">
        <x:v>ندارد</x:v>
      </x:c>
      <x:c r="P18" s="147" t="str">
        <x:v>ندارد</x:v>
      </x:c>
      <x:c r="Q18" s="147" t="str">
        <x:v>href شبکه‌های اجتماعی مشاهده شد</x:v>
      </x:c>
      <x:c r="R18" s="147" t="str">
        <x:v>landing-page-full.png</x:v>
      </x:c>
      <x:c r="S18" s="147" t="str">
        <x:v>برچسب برخی آیکن‌ها با مقصد دقیق هم‌خوان نیست</x:v>
      </x:c>
      <x:c r="T18" s="147" t="str">
        <x:v>Social</x:v>
      </x:c>
    </x:row>
    <x:row r="19">
      <x:c r="A19" s="146" t="str">
        <x:v>SH-AUTH-001</x:v>
      </x:c>
      <x:c r="B19" s="147" t="str">
        <x:v>ورود</x:v>
      </x:c>
      <x:c r="C19" s="147" t="str">
        <x:v>آن‌بوردینگ معرفی</x:v>
      </x:c>
      <x:c r="D19" s="147" t="str">
        <x:v>اسلایدهای معرفی مزایای محصول پیش از فرم ورود</x:v>
      </x:c>
      <x:c r="E19" s="147" t="str">
        <x:v>آشنایی سریع کاربر جدید</x:v>
      </x:c>
      <x:c r="F19" s="147" t="str">
        <x:v>/app/signin</x:v>
      </x:c>
      <x:c r="G19" s="147" t="str">
        <x:v>ورود یا ثبت‌نام</x:v>
      </x:c>
      <x:c r="H19" s="147" t="str">
        <x:v>ندارد</x:v>
      </x:c>
      <x:c r="I19" s="147" t="str">
        <x:v>ندارد</x:v>
      </x:c>
      <x:c r="J19" s="147" t="str">
        <x:v>ندارد</x:v>
      </x:c>
      <x:c r="K19" s="148" t="str">
        <x:v>مشاهده‌شده</x:v>
      </x:c>
      <x:c r="L19" s="148" t="str">
        <x:v>فعال</x:v>
      </x:c>
      <x:c r="M19" s="147" t="str">
        <x:v>PWA</x:v>
      </x:c>
      <x:c r="N19" s="147" t="str">
        <x:v>امکان رد کردن یا رفتن به اسلاید بعدی وجود دارد</x:v>
      </x:c>
      <x:c r="O19" s="147" t="str">
        <x:v>ندارد</x:v>
      </x:c>
      <x:c r="P19" s="147" t="str">
        <x:v>ندارد</x:v>
      </x:c>
      <x:c r="Q19" s="147" t="str">
        <x:v>اسلاید معرفی با کنترل قبلی/بعدی مشاهده شد</x:v>
      </x:c>
      <x:c r="R19" s="147" t="str">
        <x:v>rolls-link-from-signin.png</x:v>
      </x:c>
      <x:c r="S19" s="147" t="str">
        <x:v>آن‌بوردینگ برای کاربر برگشتی نیز نمایش داده شد</x:v>
      </x:c>
      <x:c r="T19" s="147" t="str">
        <x:v>Auth</x:v>
      </x:c>
    </x:row>
    <x:row r="20">
      <x:c r="A20" s="146" t="str">
        <x:v>SH-AUTH-002</x:v>
      </x:c>
      <x:c r="B20" s="147" t="str">
        <x:v>ورود</x:v>
      </x:c>
      <x:c r="C20" s="147" t="str">
        <x:v>ورود/ثبت‌نام با موبایل</x:v>
      </x:c>
      <x:c r="D20" s="147" t="str">
        <x:v>فرم شماره موبایل برای ورود یا ایجاد حساب</x:v>
      </x:c>
      <x:c r="E20" s="147" t="str">
        <x:v>شروع استفاده با شناسه موبایل</x:v>
      </x:c>
      <x:c r="F20" s="147" t="str">
        <x:v>/app/signin</x:v>
      </x:c>
      <x:c r="G20" s="147" t="str">
        <x:v>CTA ورود</x:v>
      </x:c>
      <x:c r="H20" s="147" t="str">
        <x:v>شماره موبایل</x:v>
      </x:c>
      <x:c r="I20" s="147" t="str">
        <x:v>بعداً لازم</x:v>
      </x:c>
      <x:c r="J20" s="147" t="str">
        <x:v>ندارد</x:v>
      </x:c>
      <x:c r="K20" s="148" t="str">
        <x:v>مشاهده‌شده</x:v>
      </x:c>
      <x:c r="L20" s="148" t="str">
        <x:v>فعال</x:v>
      </x:c>
      <x:c r="M20" s="147" t="str">
        <x:v>PWA</x:v>
      </x:c>
      <x:c r="N20" s="147" t="str">
        <x:v>شماره موبایل باید با کد ملی کاربر مطابق باشد</x:v>
      </x:c>
      <x:c r="O20" s="147" t="str">
        <x:v>ندارد</x:v>
      </x:c>
      <x:c r="P20" s="147" t="str">
        <x:v>شماره موبایل معتبر ایرانی</x:v>
      </x:c>
      <x:c r="Q20" s="147" t="str">
        <x:v>فرم ورود در بررسی زنده مشاهده شد</x:v>
      </x:c>
      <x:c r="R20" s="147" t="str">
        <x:v>rolls-link-from-signin.png</x:v>
      </x:c>
      <x:c r="S20" s="147" t="str">
        <x:v>مرحله OTP توسط کاربر انجام شد و جزئیات آن ثبت نشد</x:v>
      </x:c>
      <x:c r="T20" s="147" t="str">
        <x:v>Auth</x:v>
      </x:c>
    </x:row>
    <x:row r="21">
      <x:c r="A21" s="146" t="str">
        <x:v>SH-AUTH-003</x:v>
      </x:c>
      <x:c r="B21" s="147" t="str">
        <x:v>دعوت</x:v>
      </x:c>
      <x:c r="C21" s="147" t="str">
        <x:v>کد دعوت هنگام ثبت‌نام</x:v>
      </x:c>
      <x:c r="D21" s="147" t="str">
        <x:v>فیلد اختیاری کد دعوت در فرم ورود/ثبت‌نام</x:v>
      </x:c>
      <x:c r="E21" s="147" t="str">
        <x:v>اتصال کاربر جدید به برنامه معرفی</x:v>
      </x:c>
      <x:c r="F21" s="147" t="str">
        <x:v>/app/signin</x:v>
      </x:c>
      <x:c r="G21" s="147" t="str">
        <x:v>فرم ورود</x:v>
      </x:c>
      <x:c r="H21" s="147" t="str">
        <x:v>ندارد</x:v>
      </x:c>
      <x:c r="I21" s="147" t="str">
        <x:v>ندارد</x:v>
      </x:c>
      <x:c r="J21" s="147" t="str">
        <x:v>ندارد</x:v>
      </x:c>
      <x:c r="K21" s="148" t="str">
        <x:v>مشاهده‌شده</x:v>
      </x:c>
      <x:c r="L21" s="148" t="str">
        <x:v>فعال</x:v>
      </x:c>
      <x:c r="M21" s="147" t="str">
        <x:v>PWA</x:v>
      </x:c>
      <x:c r="N21" s="147" t="str">
        <x:v>وارد کردن کد دعوت اختیاری است</x:v>
      </x:c>
      <x:c r="O21" s="147" t="str">
        <x:v>ندارد</x:v>
      </x:c>
      <x:c r="P21" s="147" t="str">
        <x:v>نامشخص</x:v>
      </x:c>
      <x:c r="Q21" s="147" t="str">
        <x:v>فیلد و توضیح اختیاری بودن مشاهده شد</x:v>
      </x:c>
      <x:c r="R21" s="147" t="str">
        <x:v>rolls-link-from-signin.png</x:v>
      </x:c>
      <x:c r="S21" s="147" t="str">
        <x:v>اعتبارسنجی کد نامعتبر تست نشد</x:v>
      </x:c>
      <x:c r="T21" s="147" t="str">
        <x:v>Referral</x:v>
      </x:c>
    </x:row>
    <x:row r="22">
      <x:c r="A22" s="146" t="str">
        <x:v>SH-AUTH-004</x:v>
      </x:c>
      <x:c r="B22" s="147" t="str">
        <x:v>احراز هویت</x:v>
      </x:c>
      <x:c r="C22" s="147" t="str">
        <x:v>وضعیت ثبت‌نام تاییدشده</x:v>
      </x:c>
      <x:c r="D22" s="147" t="str">
        <x:v>نمایش وضعیت تایید حساب در اطلاعات شخصی</x:v>
      </x:c>
      <x:c r="E22" s="147" t="str">
        <x:v>اطمینان از آماده بودن حساب برای خدمات مالی</x:v>
      </x:c>
      <x:c r="F22" s="147" t="str">
        <x:v>/app/personal-info</x:v>
      </x:c>
      <x:c r="G22" s="147" t="str">
        <x:v>پروفایل &gt; حساب کاربری</x:v>
      </x:c>
      <x:c r="H22" s="147" t="str">
        <x:v>ورود</x:v>
      </x:c>
      <x:c r="I22" s="147" t="str">
        <x:v>انجام‌شده در حساب بررسی</x:v>
      </x:c>
      <x:c r="J22" s="147" t="str">
        <x:v>ندارد</x:v>
      </x:c>
      <x:c r="K22" s="148" t="str">
        <x:v>مشاهده‌شده</x:v>
      </x:c>
      <x:c r="L22" s="148" t="str">
        <x:v>فعال</x:v>
      </x:c>
      <x:c r="M22" s="147" t="str">
        <x:v>PWA</x:v>
      </x:c>
      <x:c r="N22" s="147" t="str">
        <x:v>کد ملی و تاریخ تولد در حساب نگهداری می‌شوند</x:v>
      </x:c>
      <x:c r="O22" s="147" t="str">
        <x:v>ندارد</x:v>
      </x:c>
      <x:c r="P22" s="147" t="str">
        <x:v>ندارد</x:v>
      </x:c>
      <x:c r="Q22" s="147" t="str">
        <x:v>متن «ثبت نام تایید شده است» مشاهده شد</x:v>
      </x:c>
      <x:c r="R22" s="147" t="str">
        <x:v>panel-personal-info.jpg</x:v>
      </x:c>
      <x:c r="S22" s="147" t="str">
        <x:v>مراحل احراز هویت از ابتدا بررسی نشد</x:v>
      </x:c>
      <x:c r="T22" s="147" t="str">
        <x:v>KYC</x:v>
      </x:c>
    </x:row>
    <x:row r="23">
      <x:c r="A23" s="146" t="str">
        <x:v>SH-NAV-001</x:v>
      </x:c>
      <x:c r="B23" s="147" t="str">
        <x:v>ناوبری</x:v>
      </x:c>
      <x:c r="C23" s="147" t="str">
        <x:v>ناوبری پایین پنج‌گانه</x:v>
      </x:c>
      <x:c r="D23" s="147" t="str">
        <x:v>خانه، دارایی، خدمات، تراکنش‌ها و پروفایل</x:v>
      </x:c>
      <x:c r="E23" s="147" t="str">
        <x:v>دسترسی سریع به هسته محصول</x:v>
      </x:c>
      <x:c r="F23" s="147" t="str">
        <x:v>همه صفحات اصلی پنل</x:v>
      </x:c>
      <x:c r="G23" s="147" t="str">
        <x:v>نوار پایین</x:v>
      </x:c>
      <x:c r="H23" s="147" t="str">
        <x:v>ورود</x:v>
      </x:c>
      <x:c r="I23" s="147" t="str">
        <x:v>ندارد</x:v>
      </x:c>
      <x:c r="J23" s="147" t="str">
        <x:v>ندارد</x:v>
      </x:c>
      <x:c r="K23" s="148" t="str">
        <x:v>مشاهده‌شده</x:v>
      </x:c>
      <x:c r="L23" s="148" t="str">
        <x:v>فعال</x:v>
      </x:c>
      <x:c r="M23" s="147" t="str">
        <x:v>PWA</x:v>
      </x:c>
      <x:c r="N23" s="147" t="str">
        <x:v>ناوبری در الگوی موبایل‌محور ثابت است</x:v>
      </x:c>
      <x:c r="O23" s="147" t="str">
        <x:v>ندارد</x:v>
      </x:c>
      <x:c r="P23" s="147" t="str">
        <x:v>۵ مقصد اصلی</x:v>
      </x:c>
      <x:c r="Q23" s="147" t="str">
        <x:v>در تمام صفحات اصلی مشاهده شد</x:v>
      </x:c>
      <x:c r="R23" s="147" t="str">
        <x:v>panel-home-logged-in.jpg</x:v>
      </x:c>
      <x:c r="S23" s="147" t="str">
        <x:v>برخی hrefهای خام بدون /app هستند اما مسیریابی داخلی کار می‌کند</x:v>
      </x:c>
      <x:c r="T23" s="147" t="str">
        <x:v>Navigation</x:v>
      </x:c>
    </x:row>
    <x:row r="24">
      <x:c r="A24" s="146" t="str">
        <x:v>SH-DASH-001</x:v>
      </x:c>
      <x:c r="B24" s="147" t="str">
        <x:v>داشبورد</x:v>
      </x:c>
      <x:c r="C24" s="147" t="str">
        <x:v>خانه لاگین‌شده</x:v>
      </x:c>
      <x:c r="D24" s="147" t="str">
        <x:v>قیمت، خرید، فروش، بنر اقساط و نمودار را یکجا نشان می‌دهد</x:v>
      </x:c>
      <x:c r="E24" s="147" t="str">
        <x:v>شروع سریع عملیات روزمره</x:v>
      </x:c>
      <x:c r="F24" s="147" t="str">
        <x:v>/app/home</x:v>
      </x:c>
      <x:c r="G24" s="147" t="str">
        <x:v>ورود به پنل</x:v>
      </x:c>
      <x:c r="H24" s="147" t="str">
        <x:v>ورود</x:v>
      </x:c>
      <x:c r="I24" s="147" t="str">
        <x:v>احراز برای معامله</x:v>
      </x:c>
      <x:c r="J24" s="147" t="str">
        <x:v>ندارد</x:v>
      </x:c>
      <x:c r="K24" s="148" t="str">
        <x:v>مشاهده‌شده</x:v>
      </x:c>
      <x:c r="L24" s="148" t="str">
        <x:v>فعال</x:v>
      </x:c>
      <x:c r="M24" s="147" t="str">
        <x:v>PWA</x:v>
      </x:c>
      <x:c r="N24" s="147" t="str">
        <x:v>اطلاعات بازار و CTAهای اصلی در یک صفحه هستند</x:v>
      </x:c>
      <x:c r="O24" s="147" t="str">
        <x:v>ندارد</x:v>
      </x:c>
      <x:c r="P24" s="147" t="str">
        <x:v>ندارد</x:v>
      </x:c>
      <x:c r="Q24" s="147" t="str">
        <x:v>داشبورد زنده مشاهده شد</x:v>
      </x:c>
      <x:c r="R24" s="147" t="str">
        <x:v>panel-home-logged-in.jpg</x:v>
      </x:c>
      <x:c r="S24" s="147" t="str">
        <x:v>موجودی دارایی مستقیماً در خانه نمایش داده نمی‌شود</x:v>
      </x:c>
      <x:c r="T24" s="147" t="str">
        <x:v>Dashboard</x:v>
      </x:c>
    </x:row>
    <x:row r="25">
      <x:c r="A25" s="146" t="str">
        <x:v>SH-WALLET-001</x:v>
      </x:c>
      <x:c r="B25" s="147" t="str">
        <x:v>دارایی</x:v>
      </x:c>
      <x:c r="C25" s="147" t="str">
        <x:v>صندوق طلا</x:v>
      </x:c>
      <x:c r="D25" s="147" t="str">
        <x:v>نمایش موجودی طلا برحسب سوت</x:v>
      </x:c>
      <x:c r="E25" s="147" t="str">
        <x:v>اطلاع از دارایی طلایی</x:v>
      </x:c>
      <x:c r="F25" s="147" t="str">
        <x:v>/app/wallet</x:v>
      </x:c>
      <x:c r="G25" s="147" t="str">
        <x:v>تب دارایی</x:v>
      </x:c>
      <x:c r="H25" s="147" t="str">
        <x:v>ورود</x:v>
      </x:c>
      <x:c r="I25" s="147" t="str">
        <x:v>لازم</x:v>
      </x:c>
      <x:c r="J25" s="147" t="str">
        <x:v>ندارد</x:v>
      </x:c>
      <x:c r="K25" s="148" t="str">
        <x:v>مشاهده‌شده</x:v>
      </x:c>
      <x:c r="L25" s="148" t="str">
        <x:v>فعال</x:v>
      </x:c>
      <x:c r="M25" s="147" t="str">
        <x:v>PWA</x:v>
      </x:c>
      <x:c r="N25" s="147" t="str">
        <x:v>دارایی برحسب سوت نمایش داده می‌شود</x:v>
      </x:c>
      <x:c r="O25" s="147" t="str">
        <x:v>ندارد</x:v>
      </x:c>
      <x:c r="P25" s="147" t="str">
        <x:v>طبق سقف‌های معامله</x:v>
      </x:c>
      <x:c r="Q25" s="147" t="str">
        <x:v>موجودی صندوق طلا مشاهده شد</x:v>
      </x:c>
      <x:c r="R25" s="147" t="str">
        <x:v>panel-wallet.jpg</x:v>
      </x:c>
      <x:c r="S25" s="147" t="str">
        <x:v>نام «صندوق طلا» و «کیف اندوخته» در منابع مختلف متفاوت است</x:v>
      </x:c>
      <x:c r="T25" s="147" t="str">
        <x:v>Wallet</x:v>
      </x:c>
    </x:row>
    <x:row r="26">
      <x:c r="A26" s="146" t="str">
        <x:v>SH-WALLET-002</x:v>
      </x:c>
      <x:c r="B26" s="147" t="str">
        <x:v>دارایی</x:v>
      </x:c>
      <x:c r="C26" s="147" t="str">
        <x:v>کیف پول ریالی</x:v>
      </x:c>
      <x:c r="D26" s="147" t="str">
        <x:v>نمایش موجودی ریالی و دسترسی به واریز/برداشت</x:v>
      </x:c>
      <x:c r="E26" s="147" t="str">
        <x:v>مدیریت وجه معامله</x:v>
      </x:c>
      <x:c r="F26" s="147" t="str">
        <x:v>/app/wallet</x:v>
      </x:c>
      <x:c r="G26" s="147" t="str">
        <x:v>تب دارایی</x:v>
      </x:c>
      <x:c r="H26" s="147" t="str">
        <x:v>ورود</x:v>
      </x:c>
      <x:c r="I26" s="147" t="str">
        <x:v>لازم</x:v>
      </x:c>
      <x:c r="J26" s="147" t="str">
        <x:v>ندارد</x:v>
      </x:c>
      <x:c r="K26" s="148" t="str">
        <x:v>مشاهده‌شده</x:v>
      </x:c>
      <x:c r="L26" s="148" t="str">
        <x:v>فعال</x:v>
      </x:c>
      <x:c r="M26" s="147" t="str">
        <x:v>PWA</x:v>
      </x:c>
      <x:c r="N26" s="147" t="str">
        <x:v>وجه فروش به کیف پول ریالی منتقل می‌شود</x:v>
      </x:c>
      <x:c r="O26" s="147" t="str">
        <x:v>ندارد</x:v>
      </x:c>
      <x:c r="P26" s="147" t="str">
        <x:v>طبق سقف‌های واریز و برداشت</x:v>
      </x:c>
      <x:c r="Q26" s="147" t="str">
        <x:v>موجودی و CTAها مشاهده شد</x:v>
      </x:c>
      <x:c r="R26" s="147" t="str">
        <x:v>panel-wallet.jpg</x:v>
      </x:c>
      <x:c r="S26" s="147" t="str">
        <x:v>عدد موجودی حساب در فایل ذخیره نشده است</x:v>
      </x:c>
      <x:c r="T26" s="147" t="str">
        <x:v>Wallet</x:v>
      </x:c>
    </x:row>
    <x:row r="27">
      <x:c r="A27" s="146" t="str">
        <x:v>SH-WALLET-003</x:v>
      </x:c>
      <x:c r="B27" s="147" t="str">
        <x:v>دارایی</x:v>
      </x:c>
      <x:c r="C27" s="147" t="str">
        <x:v>میانبرهای عملیات دارایی</x:v>
      </x:c>
      <x:c r="D27" s="147" t="str">
        <x:v>خرید، فروش، افزایش موجودی و برداشت از صفحه دارایی</x:v>
      </x:c>
      <x:c r="E27" s="147" t="str">
        <x:v>کاهش مسیر انجام عملیات</x:v>
      </x:c>
      <x:c r="F27" s="147" t="str">
        <x:v>/app/wallet</x:v>
      </x:c>
      <x:c r="G27" s="147" t="str">
        <x:v>کارت‌های دارایی</x:v>
      </x:c>
      <x:c r="H27" s="147" t="str">
        <x:v>ورود</x:v>
      </x:c>
      <x:c r="I27" s="147" t="str">
        <x:v>لازم</x:v>
      </x:c>
      <x:c r="J27" s="147" t="str">
        <x:v>متناسب با عملیات</x:v>
      </x:c>
      <x:c r="K27" s="148" t="str">
        <x:v>مشاهده‌شده</x:v>
      </x:c>
      <x:c r="L27" s="148" t="str">
        <x:v>فعال</x:v>
      </x:c>
      <x:c r="M27" s="147" t="str">
        <x:v>PWA</x:v>
      </x:c>
      <x:c r="N27" s="147" t="str">
        <x:v>چهار CTA در صفحه دارایی فعال‌اند</x:v>
      </x:c>
      <x:c r="O27" s="147" t="str">
        <x:v>مطابق عملیات</x:v>
      </x:c>
      <x:c r="P27" s="147" t="str">
        <x:v>مطابق عملیات</x:v>
      </x:c>
      <x:c r="Q27" s="147" t="str">
        <x:v>دکمه‌ها و لینک‌های مقصد مشاهده شد</x:v>
      </x:c>
      <x:c r="R27" s="147" t="str">
        <x:v>panel-wallet.jpg</x:v>
      </x:c>
      <x:c r="S27" s="147" t="str">
        <x:v>ندارد</x:v>
      </x:c>
      <x:c r="T27" s="147" t="str">
        <x:v>Wallet</x:v>
      </x:c>
    </x:row>
    <x:row r="28">
      <x:c r="A28" s="146" t="str">
        <x:v>SH-TRADE-001</x:v>
      </x:c>
      <x:c r="B28" s="147" t="str">
        <x:v>معامله</x:v>
      </x:c>
      <x:c r="C28" s="147" t="str">
        <x:v>خرید طلا</x:v>
      </x:c>
      <x:c r="D28" s="147" t="str">
        <x:v>خرید طلای ۱۸ عیار با ورود مبلغ ریالی یا مقدار سوت</x:v>
      </x:c>
      <x:c r="E28" s="147" t="str">
        <x:v>تبدیل وجه به دارایی طلا</x:v>
      </x:c>
      <x:c r="F28" s="147" t="str">
        <x:v>/app/trades?activeTab=1</x:v>
      </x:c>
      <x:c r="G28" s="147" t="str">
        <x:v>خانه، دارایی و خدمات</x:v>
      </x:c>
      <x:c r="H28" s="147" t="str">
        <x:v>ورود</x:v>
      </x:c>
      <x:c r="I28" s="147" t="str">
        <x:v>لازم</x:v>
      </x:c>
      <x:c r="J28" s="147" t="str">
        <x:v>موجودی کیف پول یا پرداخت</x:v>
      </x:c>
      <x:c r="K28" s="148" t="str">
        <x:v>مشاهده‌شده</x:v>
      </x:c>
      <x:c r="L28" s="148" t="str">
        <x:v>فعال</x:v>
      </x:c>
      <x:c r="M28" s="147" t="str">
        <x:v>PWA</x:v>
      </x:c>
      <x:c r="N28" s="147" t="str">
        <x:v>مبلغ پرداختی شامل کارمزد و مقدار طلا به‌صورت دوطرفه محاسبه می‌شود</x:v>
      </x:c>
      <x:c r="O28" s="147" t="str">
        <x:v>۰.۵٪ طبق لندینگ؛ مبلغ دقیق در فرم</x:v>
      </x:c>
      <x:c r="P28" s="147" t="str">
        <x:v>روزانه ۱۵۰,۰۰۰ سوت در مودال فعلی؛ FAQ عدد ۶۰,۰۰۰ سوت دارد</x:v>
      </x:c>
      <x:c r="Q28" s="147" t="str">
        <x:v>فرم خرید و ورودی‌های amount/goldQuantity مشاهده شد</x:v>
      </x:c>
      <x:c r="R28" s="147" t="str">
        <x:v>panel-buy-trade.jpg</x:v>
      </x:c>
      <x:c r="S28" s="147" t="str">
        <x:v>خرید واقعی قبلاً با ۵ سوت تست و رسید موفق ثبت شده است</x:v>
      </x:c>
      <x:c r="T28" s="147" t="str">
        <x:v>Buy</x:v>
      </x:c>
    </x:row>
    <x:row r="29">
      <x:c r="A29" s="146" t="str">
        <x:v>SH-TRADE-002</x:v>
      </x:c>
      <x:c r="B29" s="147" t="str">
        <x:v>معامله</x:v>
      </x:c>
      <x:c r="C29" s="147" t="str">
        <x:v>فروش طلا</x:v>
      </x:c>
      <x:c r="D29" s="147" t="str">
        <x:v>فروش طلای موجود با ورود مبلغ دریافتی یا مقدار سوت</x:v>
      </x:c>
      <x:c r="E29" s="147" t="str">
        <x:v>نقد کردن سریع دارایی</x:v>
      </x:c>
      <x:c r="F29" s="147" t="str">
        <x:v>/app/trades?activeTab=2</x:v>
      </x:c>
      <x:c r="G29" s="147" t="str">
        <x:v>خانه، دارایی و خدمات</x:v>
      </x:c>
      <x:c r="H29" s="147" t="str">
        <x:v>ورود</x:v>
      </x:c>
      <x:c r="I29" s="147" t="str">
        <x:v>لازم</x:v>
      </x:c>
      <x:c r="J29" s="147" t="str">
        <x:v>موجودی طلا</x:v>
      </x:c>
      <x:c r="K29" s="148" t="str">
        <x:v>مشاهده‌شده</x:v>
      </x:c>
      <x:c r="L29" s="148" t="str">
        <x:v>فعال</x:v>
      </x:c>
      <x:c r="M29" s="147" t="str">
        <x:v>PWA</x:v>
      </x:c>
      <x:c r="N29" s="147" t="str">
        <x:v>مبلغ حاصل بلافاصله به کیف پول ریالی منتقل می‌شود</x:v>
      </x:c>
      <x:c r="O29" s="147" t="str">
        <x:v>۰.۵٪ طبق لندینگ؛ مبلغ دقیق در فرم</x:v>
      </x:c>
      <x:c r="P29" s="147" t="str">
        <x:v>روزانه ۱۵۰,۰۰۰ سوت در مودال فعلی؛ FAQ عدد ۱۰۰,۰۰۰ سوت دارد</x:v>
      </x:c>
      <x:c r="Q29" s="147" t="str">
        <x:v>فرم فروش و رسید قبلی مشاهده شد</x:v>
      </x:c>
      <x:c r="R29" s="147" t="str">
        <x:v>panel-sell-trade.jpg</x:v>
      </x:c>
      <x:c r="S29" s="147" t="str">
        <x:v>فروش واقعی قبلاً با ۵ سوت تست شده است</x:v>
      </x:c>
      <x:c r="T29" s="147" t="str">
        <x:v>Sell</x:v>
      </x:c>
    </x:row>
    <x:row r="30">
      <x:c r="A30" s="146" t="str">
        <x:v>SH-TRADE-003</x:v>
      </x:c>
      <x:c r="B30" s="147" t="str">
        <x:v>معامله</x:v>
      </x:c>
      <x:c r="C30" s="147" t="str">
        <x:v>نمایش کارمزد معامله</x:v>
      </x:c>
      <x:c r="D30" s="147" t="str">
        <x:v>نمایش کارمزد خرید یا فروش کنار ورودی‌ها</x:v>
      </x:c>
      <x:c r="E30" s="147" t="str">
        <x:v>شفافیت هزینه پیش از اقدام</x:v>
      </x:c>
      <x:c r="F30" s="147" t="str">
        <x:v>صفحه خرید/فروش</x:v>
      </x:c>
      <x:c r="G30" s="147" t="str">
        <x:v>فرم معامله</x:v>
      </x:c>
      <x:c r="H30" s="147" t="str">
        <x:v>ورود</x:v>
      </x:c>
      <x:c r="I30" s="147" t="str">
        <x:v>لازم</x:v>
      </x:c>
      <x:c r="J30" s="147" t="str">
        <x:v>ورود مقدار معتبر</x:v>
      </x:c>
      <x:c r="K30" s="148" t="str">
        <x:v>مشاهده‌شده</x:v>
      </x:c>
      <x:c r="L30" s="148" t="str">
        <x:v>فعال</x:v>
      </x:c>
      <x:c r="M30" s="147" t="str">
        <x:v>PWA</x:v>
      </x:c>
      <x:c r="N30" s="147" t="str">
        <x:v>کارمزد با مقدار معامله محاسبه می‌شود</x:v>
      </x:c>
      <x:c r="O30" s="147" t="str">
        <x:v>نرخ عمومی ۰.۵٪؛ مبلغ در فرم/رسید</x:v>
      </x:c>
      <x:c r="P30" s="147" t="str">
        <x:v>ندارد</x:v>
      </x:c>
      <x:c r="Q30" s="147" t="str">
        <x:v>ردیف کارمزد در فرم و رسید مشاهده شد</x:v>
      </x:c>
      <x:c r="R30" s="147" t="str">
        <x:v>test-buy-transaction-detail.jpg</x:v>
      </x:c>
      <x:c r="S30" s="147" t="str">
        <x:v>منبع رسمی واحد نرخ کارمزد هنوز لازم است</x:v>
      </x:c>
      <x:c r="T30" s="147" t="str">
        <x:v>Fee</x:v>
      </x:c>
    </x:row>
    <x:row r="31">
      <x:c r="A31" s="146" t="str">
        <x:v>SH-TRADE-004</x:v>
      </x:c>
      <x:c r="B31" s="147" t="str">
        <x:v>معامله</x:v>
      </x:c>
      <x:c r="C31" s="147" t="str">
        <x:v>محدودیت‌های روزانه</x:v>
      </x:c>
      <x:c r="D31" s="147" t="str">
        <x:v>مودال سقف واریز، برداشت، خرید، فروش و انتقال</x:v>
      </x:c>
      <x:c r="E31" s="147" t="str">
        <x:v>آگاهی از ظرفیت روزانه حساب</x:v>
      </x:c>
      <x:c r="F31" s="147" t="str">
        <x:v>فرم خرید/فروش و واریز/برداشت</x:v>
      </x:c>
      <x:c r="G31" s="147" t="str">
        <x:v>لینک محدودیت‌های شمش</x:v>
      </x:c>
      <x:c r="H31" s="147" t="str">
        <x:v>ورود</x:v>
      </x:c>
      <x:c r="I31" s="147" t="str">
        <x:v>لازم</x:v>
      </x:c>
      <x:c r="J31" s="147" t="str">
        <x:v>ندارد</x:v>
      </x:c>
      <x:c r="K31" s="148" t="str">
        <x:v>مشاهده‌شده</x:v>
      </x:c>
      <x:c r="L31" s="148" t="str">
        <x:v>فعال</x:v>
      </x:c>
      <x:c r="M31" s="147" t="str">
        <x:v>PWA</x:v>
      </x:c>
      <x:c r="N31" s="147" t="str">
        <x:v>واریز ۲ میلیارد، برداشت ۳ میلیارد ریال؛ خرید/فروش/انتقال هرکدام ۱۵۰ هزار سوت</x:v>
      </x:c>
      <x:c r="O31" s="147" t="str">
        <x:v>ندارد</x:v>
      </x:c>
      <x:c r="P31" s="147" t="str">
        <x:v>روزانه</x:v>
      </x:c>
      <x:c r="Q31" s="147" t="str">
        <x:v>مودال زنده در ۱۴۰۵/۰۴/۲۴ مشاهده شد</x:v>
      </x:c>
      <x:c r="R31" s="147" t="str">
        <x:v>test-buy-limits-expanded.jpg</x:v>
      </x:c>
      <x:c r="S31" s="147" t="str">
        <x:v>با FAQ در خرید، فروش و برداشت تعارض دارد</x:v>
      </x:c>
      <x:c r="T31" s="147" t="str">
        <x:v>Limits</x:v>
      </x:c>
    </x:row>
    <x:row r="32">
      <x:c r="A32" s="146" t="str">
        <x:v>SH-TRADE-005</x:v>
      </x:c>
      <x:c r="B32" s="147" t="str">
        <x:v>معامله</x:v>
      </x:c>
      <x:c r="C32" s="147" t="str">
        <x:v>محدودیت‌های ماهانه</x:v>
      </x:c>
      <x:c r="D32" s="147" t="str">
        <x:v>تب ماهانه مودال محدودیت‌ها</x:v>
      </x:c>
      <x:c r="E32" s="147" t="str">
        <x:v>برنامه‌ریزی معاملات بزرگ‌تر</x:v>
      </x:c>
      <x:c r="F32" s="147" t="str">
        <x:v>مودال محدودیت‌ها</x:v>
      </x:c>
      <x:c r="G32" s="147" t="str">
        <x:v>تب ماهانه</x:v>
      </x:c>
      <x:c r="H32" s="147" t="str">
        <x:v>ورود</x:v>
      </x:c>
      <x:c r="I32" s="147" t="str">
        <x:v>لازم</x:v>
      </x:c>
      <x:c r="J32" s="147" t="str">
        <x:v>ندارد</x:v>
      </x:c>
      <x:c r="K32" s="148" t="str">
        <x:v>مشاهده‌شده</x:v>
      </x:c>
      <x:c r="L32" s="148" t="str">
        <x:v>فعال</x:v>
      </x:c>
      <x:c r="M32" s="147" t="str">
        <x:v>PWA</x:v>
      </x:c>
      <x:c r="N32" s="147" t="str">
        <x:v>واریز/برداشت ۶۰ میلیارد ریال، خرید ۱.۵ میلیون، فروش ۳ میلیون و انتقال ۲ میلیون سوت</x:v>
      </x:c>
      <x:c r="O32" s="147" t="str">
        <x:v>ندارد</x:v>
      </x:c>
      <x:c r="P32" s="147" t="str">
        <x:v>ماهانه</x:v>
      </x:c>
      <x:c r="Q32" s="147" t="str">
        <x:v>تب ماهانه زنده مشاهده شد</x:v>
      </x:c>
      <x:c r="R32" s="147" t="str">
        <x:v>test-limits-monthly.jpg</x:v>
      </x:c>
      <x:c r="S32" s="147" t="str">
        <x:v>با اطلاعات قبلی پروژه هم‌خوان است</x:v>
      </x:c>
      <x:c r="T32" s="147" t="str">
        <x:v>Limits</x:v>
      </x:c>
    </x:row>
    <x:row r="33">
      <x:c r="A33" s="146" t="str">
        <x:v>SH-TRADE-006</x:v>
      </x:c>
      <x:c r="B33" s="147" t="str">
        <x:v>معامله</x:v>
      </x:c>
      <x:c r="C33" s="147" t="str">
        <x:v>رسید خرید موفق</x:v>
      </x:c>
      <x:c r="D33" s="147" t="str">
        <x:v>نمایش مقدار، موجودی پس از خرید، وضعیت، کارمزد، قیمت، مبلغ، کد و زمان</x:v>
      </x:c>
      <x:c r="E33" s="147" t="str">
        <x:v>اثبات و پیگیری خرید</x:v>
      </x:c>
      <x:c r="F33" s="147" t="str">
        <x:v>/app/transaction/transaction-details/:id</x:v>
      </x:c>
      <x:c r="G33" s="147" t="str">
        <x:v>لیست تراکنش‌ها</x:v>
      </x:c>
      <x:c r="H33" s="147" t="str">
        <x:v>ورود</x:v>
      </x:c>
      <x:c r="I33" s="147" t="str">
        <x:v>لازم</x:v>
      </x:c>
      <x:c r="J33" s="147" t="str">
        <x:v>خرید انجام‌شده</x:v>
      </x:c>
      <x:c r="K33" s="148" t="str">
        <x:v>مشاهده‌شده</x:v>
      </x:c>
      <x:c r="L33" s="148" t="str">
        <x:v>فعال</x:v>
      </x:c>
      <x:c r="M33" s="147" t="str">
        <x:v>PWA</x:v>
      </x:c>
      <x:c r="N33" s="147" t="str">
        <x:v>رسید پس از خرید موفق ایجاد می‌شود</x:v>
      </x:c>
      <x:c r="O33" s="147" t="str">
        <x:v>در رسید</x:v>
      </x:c>
      <x:c r="P33" s="147" t="str">
        <x:v>ندارد</x:v>
      </x:c>
      <x:c r="Q33" s="147" t="str">
        <x:v>رسید خرید ۵ سوت مشاهده شد</x:v>
      </x:c>
      <x:c r="R33" s="147" t="str">
        <x:v>test-buy-transaction-detail.jpg</x:v>
      </x:c>
      <x:c r="S33" s="147" t="str">
        <x:v>دارای ذخیره و اشتراک‌گذاری است</x:v>
      </x:c>
      <x:c r="T33" s="147" t="str">
        <x:v>Receipt</x:v>
      </x:c>
    </x:row>
    <x:row r="34">
      <x:c r="A34" s="146" t="str">
        <x:v>SH-TRADE-007</x:v>
      </x:c>
      <x:c r="B34" s="147" t="str">
        <x:v>معامله</x:v>
      </x:c>
      <x:c r="C34" s="147" t="str">
        <x:v>رسید فروش موفق</x:v>
      </x:c>
      <x:c r="D34" s="147" t="str">
        <x:v>نمایش جزئیات نتیجه فروش و اثر بر موجودی</x:v>
      </x:c>
      <x:c r="E34" s="147" t="str">
        <x:v>اثبات و پیگیری فروش</x:v>
      </x:c>
      <x:c r="F34" s="147" t="str">
        <x:v>/app/transaction/transaction-details/:id</x:v>
      </x:c>
      <x:c r="G34" s="147" t="str">
        <x:v>لیست تراکنش‌ها</x:v>
      </x:c>
      <x:c r="H34" s="147" t="str">
        <x:v>ورود</x:v>
      </x:c>
      <x:c r="I34" s="147" t="str">
        <x:v>لازم</x:v>
      </x:c>
      <x:c r="J34" s="147" t="str">
        <x:v>فروش انجام‌شده</x:v>
      </x:c>
      <x:c r="K34" s="148" t="str">
        <x:v>مشاهده‌شده</x:v>
      </x:c>
      <x:c r="L34" s="148" t="str">
        <x:v>فعال</x:v>
      </x:c>
      <x:c r="M34" s="147" t="str">
        <x:v>PWA</x:v>
      </x:c>
      <x:c r="N34" s="147" t="str">
        <x:v>ساختار مشابه رسید خرید است</x:v>
      </x:c>
      <x:c r="O34" s="147" t="str">
        <x:v>در رسید</x:v>
      </x:c>
      <x:c r="P34" s="147" t="str">
        <x:v>ندارد</x:v>
      </x:c>
      <x:c r="Q34" s="147" t="str">
        <x:v>رسید فروش قبلاً تست و ثبت شده است</x:v>
      </x:c>
      <x:c r="R34" s="147" t="str">
        <x:v>test-sell-transaction-detail.jpg</x:v>
      </x:c>
      <x:c r="S34" s="147" t="str">
        <x:v>در بازدید زنده یک بار بارگذاری جزئیات ناپایدار بود</x:v>
      </x:c>
      <x:c r="T34" s="147" t="str">
        <x:v>Receipt</x:v>
      </x:c>
    </x:row>
    <x:row r="35">
      <x:c r="A35" s="146" t="str">
        <x:v>SH-DEPOSIT-001</x:v>
      </x:c>
      <x:c r="B35" s="147" t="str">
        <x:v>واریز</x:v>
      </x:c>
      <x:c r="C35" s="147" t="str">
        <x:v>افزایش موجودی کیف پول</x:v>
      </x:c>
      <x:c r="D35" s="147" t="str">
        <x:v>ورود مبلغ برای شارژ کیف پول ریالی</x:v>
      </x:c>
      <x:c r="E35" s="147" t="str">
        <x:v>تأمین وجه خرید طلا</x:v>
      </x:c>
      <x:c r="F35" s="147" t="str">
        <x:v>/app/deposit-to-wallet</x:v>
      </x:c>
      <x:c r="G35" s="147" t="str">
        <x:v>دارایی &gt; افزایش موجودی</x:v>
      </x:c>
      <x:c r="H35" s="147" t="str">
        <x:v>ورود</x:v>
      </x:c>
      <x:c r="I35" s="147" t="str">
        <x:v>لازم</x:v>
      </x:c>
      <x:c r="J35" s="147" t="str">
        <x:v>کارت بانکی خود کاربر</x:v>
      </x:c>
      <x:c r="K35" s="148" t="str">
        <x:v>مشاهده‌شده</x:v>
      </x:c>
      <x:c r="L35" s="148" t="str">
        <x:v>فعال</x:v>
      </x:c>
      <x:c r="M35" s="147" t="str">
        <x:v>PWA</x:v>
      </x:c>
      <x:c r="N35" s="147" t="str">
        <x:v>واریز باید با کارت متعلق به کاربر انجام شود</x:v>
      </x:c>
      <x:c r="O35" s="147" t="str">
        <x:v>رسید قبلی ۰ ریال</x:v>
      </x:c>
      <x:c r="P35" s="147" t="str">
        <x:v>حداقل ۱۰,۰۰۰ ریال</x:v>
      </x:c>
      <x:c r="Q35" s="147" t="str">
        <x:v>فرم واریز زنده مشاهده شد</x:v>
      </x:c>
      <x:c r="R35" s="147" t="str">
        <x:v>panel-deposit-wallet.jpg</x:v>
      </x:c>
      <x:c r="S35" s="147" t="str">
        <x:v>مرحله درگاه در این بررسی نهایی نشد</x:v>
      </x:c>
      <x:c r="T35" s="147" t="str">
        <x:v>Deposit</x:v>
      </x:c>
    </x:row>
    <x:row r="36">
      <x:c r="A36" s="146" t="str">
        <x:v>SH-DEPOSIT-002</x:v>
      </x:c>
      <x:c r="B36" s="147" t="str">
        <x:v>واریز</x:v>
      </x:c>
      <x:c r="C36" s="147" t="str">
        <x:v>مبالغ پیشنهادی واریز</x:v>
      </x:c>
      <x:c r="D36" s="147" t="str">
        <x:v>دکمه‌های ۱۰۰هزار تا ۵میلیون ریال برای تکمیل سریع مبلغ</x:v>
      </x:c>
      <x:c r="E36" s="147" t="str">
        <x:v>کاهش خطای ورود مبلغ</x:v>
      </x:c>
      <x:c r="F36" s="147" t="str">
        <x:v>/app/deposit-to-wallet</x:v>
      </x:c>
      <x:c r="G36" s="147" t="str">
        <x:v>زیر ورودی مبلغ</x:v>
      </x:c>
      <x:c r="H36" s="147" t="str">
        <x:v>ورود</x:v>
      </x:c>
      <x:c r="I36" s="147" t="str">
        <x:v>لازم</x:v>
      </x:c>
      <x:c r="J36" s="147" t="str">
        <x:v>ندارد</x:v>
      </x:c>
      <x:c r="K36" s="148" t="str">
        <x:v>مشاهده‌شده</x:v>
      </x:c>
      <x:c r="L36" s="148" t="str">
        <x:v>فعال</x:v>
      </x:c>
      <x:c r="M36" s="147" t="str">
        <x:v>PWA</x:v>
      </x:c>
      <x:c r="N36" s="147" t="str">
        <x:v>شش مبلغ پیش‌فرض ارائه شده است</x:v>
      </x:c>
      <x:c r="O36" s="147" t="str">
        <x:v>ندارد</x:v>
      </x:c>
      <x:c r="P36" s="147" t="str">
        <x:v>۱۰۰,۰۰۰ تا ۵,۰۰۰,۰۰۰ ریال</x:v>
      </x:c>
      <x:c r="Q36" s="147" t="str">
        <x:v>دکمه‌های مبلغ مشاهده شدند</x:v>
      </x:c>
      <x:c r="R36" s="147" t="str">
        <x:v>panel-deposit-wallet.jpg</x:v>
      </x:c>
      <x:c r="S36" s="147" t="str">
        <x:v>مبالغ بسیار کمتر از نیاز خرید یک سوت فعلی هستند</x:v>
      </x:c>
      <x:c r="T36" s="147" t="str">
        <x:v>Deposit</x:v>
      </x:c>
    </x:row>
    <x:row r="37">
      <x:c r="A37" s="146" t="str">
        <x:v>SH-DEPOSIT-003</x:v>
      </x:c>
      <x:c r="B37" s="147" t="str">
        <x:v>واریز</x:v>
      </x:c>
      <x:c r="C37" s="147" t="str">
        <x:v>رسید واریز</x:v>
      </x:c>
      <x:c r="D37" s="147" t="str">
        <x:v>جزئیات وضعیت، مبلغ، کارمزد، مبدا، کد پیگیری و زمان</x:v>
      </x:c>
      <x:c r="E37" s="147" t="str">
        <x:v>پیگیری شارژ کیف پول</x:v>
      </x:c>
      <x:c r="F37" s="147" t="str">
        <x:v>جزئیات تراکنش</x:v>
      </x:c>
      <x:c r="G37" s="147" t="str">
        <x:v>لیست تراکنش‌ها</x:v>
      </x:c>
      <x:c r="H37" s="147" t="str">
        <x:v>ورود</x:v>
      </x:c>
      <x:c r="I37" s="147" t="str">
        <x:v>لازم</x:v>
      </x:c>
      <x:c r="J37" s="147" t="str">
        <x:v>واریز انجام‌شده</x:v>
      </x:c>
      <x:c r="K37" s="148" t="str">
        <x:v>مشاهده‌شده</x:v>
      </x:c>
      <x:c r="L37" s="148" t="str">
        <x:v>فعال</x:v>
      </x:c>
      <x:c r="M37" s="147" t="str">
        <x:v>PWA</x:v>
      </x:c>
      <x:c r="N37" s="147" t="str">
        <x:v>رسید موفق امکان ذخیره و اشتراک دارد</x:v>
      </x:c>
      <x:c r="O37" s="147" t="str">
        <x:v>در نمونه ۰ ریال</x:v>
      </x:c>
      <x:c r="P37" s="147" t="str">
        <x:v>ندارد</x:v>
      </x:c>
      <x:c r="Q37" s="147" t="str">
        <x:v>رسید واریز موفق در حساب موجود است</x:v>
      </x:c>
      <x:c r="R37" s="147" t="str">
        <x:v>panel-transaction-detail.jpg</x:v>
      </x:c>
      <x:c r="S37" s="147" t="str">
        <x:v>اطلاعات بانکی شخصی در inventory ذخیره نشده است</x:v>
      </x:c>
      <x:c r="T37" s="147" t="str">
        <x:v>Receipt</x:v>
      </x:c>
    </x:row>
    <x:row r="38">
      <x:c r="A38" s="146" t="str">
        <x:v>SH-WITHDRAW-001</x:v>
      </x:c>
      <x:c r="B38" s="147" t="str">
        <x:v>برداشت</x:v>
      </x:c>
      <x:c r="C38" s="147" t="str">
        <x:v>برداشت ریالی</x:v>
      </x:c>
      <x:c r="D38" s="147" t="str">
        <x:v>ثبت مبلغ برداشت از کیف پول</x:v>
      </x:c>
      <x:c r="E38" s="147" t="str">
        <x:v>انتقال وجه به حساب بانکی</x:v>
      </x:c>
      <x:c r="F38" s="147" t="str">
        <x:v>/app/withdraw-from-wallet</x:v>
      </x:c>
      <x:c r="G38" s="147" t="str">
        <x:v>دارایی &gt; برداشت از حساب</x:v>
      </x:c>
      <x:c r="H38" s="147" t="str">
        <x:v>ورود</x:v>
      </x:c>
      <x:c r="I38" s="147" t="str">
        <x:v>لازم</x:v>
      </x:c>
      <x:c r="J38" s="147" t="str">
        <x:v>موجودی کافی</x:v>
      </x:c>
      <x:c r="K38" s="148" t="str">
        <x:v>مشاهده‌شده</x:v>
      </x:c>
      <x:c r="L38" s="148" t="str">
        <x:v>فعال</x:v>
      </x:c>
      <x:c r="M38" s="147" t="str">
        <x:v>PWA</x:v>
      </x:c>
      <x:c r="N38" s="147" t="str">
        <x:v>مقصد باید متعلق به خود کاربر باشد</x:v>
      </x:c>
      <x:c r="O38" s="147" t="str">
        <x:v>نامشخص</x:v>
      </x:c>
      <x:c r="P38" s="147" t="str">
        <x:v>حداقل ۲,۰۰۰,۰۰۰ ریال</x:v>
      </x:c>
      <x:c r="Q38" s="147" t="str">
        <x:v>فرم برداشت زنده مشاهده شد</x:v>
      </x:c>
      <x:c r="R38" s="147" t="str">
        <x:v>panel-withdraw-wallet.jpg</x:v>
      </x:c>
      <x:c r="S38" s="147" t="str">
        <x:v>درخواست نهایی ثبت نشد</x:v>
      </x:c>
      <x:c r="T38" s="147" t="str">
        <x:v>Withdrawal</x:v>
      </x:c>
    </x:row>
    <x:row r="39">
      <x:c r="A39" s="146" t="str">
        <x:v>SH-WITHDRAW-002</x:v>
      </x:c>
      <x:c r="B39" s="147" t="str">
        <x:v>برداشت</x:v>
      </x:c>
      <x:c r="C39" s="147" t="str">
        <x:v>ثبت شماره شبا</x:v>
      </x:c>
      <x:c r="D39" s="147" t="str">
        <x:v>ورودی شبای ۲۴ رقمی مقصد</x:v>
      </x:c>
      <x:c r="E39" s="147" t="str">
        <x:v>تسویه به حساب بانکی تاییدشده</x:v>
      </x:c>
      <x:c r="F39" s="147" t="str">
        <x:v>/app/withdraw-from-wallet</x:v>
      </x:c>
      <x:c r="G39" s="147" t="str">
        <x:v>فرم برداشت</x:v>
      </x:c>
      <x:c r="H39" s="147" t="str">
        <x:v>ورود</x:v>
      </x:c>
      <x:c r="I39" s="147" t="str">
        <x:v>لازم</x:v>
      </x:c>
      <x:c r="J39" s="147" t="str">
        <x:v>شبای متعلق به کاربر</x:v>
      </x:c>
      <x:c r="K39" s="148" t="str">
        <x:v>مشاهده‌شده</x:v>
      </x:c>
      <x:c r="L39" s="148" t="str">
        <x:v>فعال</x:v>
      </x:c>
      <x:c r="M39" s="147" t="str">
        <x:v>PWA</x:v>
      </x:c>
      <x:c r="N39" s="147" t="str">
        <x:v>شماره شبا ۲۴ رقم و متعلق به خود کاربر است</x:v>
      </x:c>
      <x:c r="O39" s="147" t="str">
        <x:v>نامشخص</x:v>
      </x:c>
      <x:c r="P39" s="147" t="str">
        <x:v>۲۴ رقم</x:v>
      </x:c>
      <x:c r="Q39" s="147" t="str">
        <x:v>ورودی Iban با پیشوند IR مشاهده شد</x:v>
      </x:c>
      <x:c r="R39" s="147" t="str">
        <x:v>test-withdraw-form-unobscured.jpg</x:v>
      </x:c>
      <x:c r="S39" s="147" t="str">
        <x:v>انتخاب از حساب‌های ذخیره‌شده مشاهده نشد</x:v>
      </x:c>
      <x:c r="T39" s="147" t="str">
        <x:v>BankAccount</x:v>
      </x:c>
    </x:row>
    <x:row r="40">
      <x:c r="A40" s="146" t="str">
        <x:v>SH-WITHDRAW-003</x:v>
      </x:c>
      <x:c r="B40" s="147" t="str">
        <x:v>برداشت</x:v>
      </x:c>
      <x:c r="C40" s="147" t="str">
        <x:v>هشدار اختلال بانکی</x:v>
      </x:c>
      <x:c r="D40" s="147" t="str">
        <x:v>هشدار عدم استفاده موقت از حساب‌های ملی، تجارت و صادرات</x:v>
      </x:c>
      <x:c r="E40" s="147" t="str">
        <x:v>کاهش تأخیر در تسویه</x:v>
      </x:c>
      <x:c r="F40" s="147" t="str">
        <x:v>/app/withdraw-from-wallet</x:v>
      </x:c>
      <x:c r="G40" s="147" t="str">
        <x:v>مودال صفحه برداشت</x:v>
      </x:c>
      <x:c r="H40" s="147" t="str">
        <x:v>ورود</x:v>
      </x:c>
      <x:c r="I40" s="147" t="str">
        <x:v>لازم</x:v>
      </x:c>
      <x:c r="J40" s="147" t="str">
        <x:v>ندارد</x:v>
      </x:c>
      <x:c r="K40" s="148" t="str">
        <x:v>مشاهده‌شده</x:v>
      </x:c>
      <x:c r="L40" s="148" t="str">
        <x:v>فعال موقت</x:v>
      </x:c>
      <x:c r="M40" s="147" t="str">
        <x:v>PWA</x:v>
      </x:c>
      <x:c r="N40" s="147" t="str">
        <x:v>پیشنهاد ثبت شبای بانک دیگر تا اطلاع ثانوی</x:v>
      </x:c>
      <x:c r="O40" s="147" t="str">
        <x:v>ندارد</x:v>
      </x:c>
      <x:c r="P40" s="147" t="str">
        <x:v>ندارد</x:v>
      </x:c>
      <x:c r="Q40" s="147" t="str">
        <x:v>هشدار زنده در ۱۴۰۵/۰۴/۲۴ مشاهده شد</x:v>
      </x:c>
      <x:c r="R40" s="147" t="str">
        <x:v>panel-withdraw-wallet.jpg</x:v>
      </x:c>
      <x:c r="S40" s="147" t="str">
        <x:v>اطلاعات زمان‌حساس و نیازمند بروزرسانی مستمر است</x:v>
      </x:c>
      <x:c r="T40" s="147" t="str">
        <x:v>Withdrawal</x:v>
      </x:c>
    </x:row>
    <x:row r="41">
      <x:c r="A41" s="146" t="str">
        <x:v>SH-WITHDRAW-004</x:v>
      </x:c>
      <x:c r="B41" s="147" t="str">
        <x:v>برداشت</x:v>
      </x:c>
      <x:c r="C41" s="147" t="str">
        <x:v>زمان تسویه برداشت</x:v>
      </x:c>
      <x:c r="D41" s="147" t="str">
        <x:v>اعلام واریز مبلغ برداشت به کارت ثبت‌شده طی ۷۲ ساعت</x:v>
      </x:c>
      <x:c r="E41" s="147" t="str">
        <x:v>انتظار روشن از زمان دریافت وجه</x:v>
      </x:c>
      <x:c r="F41" s="147" t="str">
        <x:v>FAQ پنل</x:v>
      </x:c>
      <x:c r="G41" s="147" t="str">
        <x:v>پرسش برداشت ریالی</x:v>
      </x:c>
      <x:c r="H41" s="147" t="str">
        <x:v>ورود</x:v>
      </x:c>
      <x:c r="I41" s="147" t="str">
        <x:v>لازم</x:v>
      </x:c>
      <x:c r="J41" s="147" t="str">
        <x:v>درخواست برداشت</x:v>
      </x:c>
      <x:c r="K41" s="148" t="str">
        <x:v>مشاهده‌شده</x:v>
      </x:c>
      <x:c r="L41" s="148" t="str">
        <x:v>فعال</x:v>
      </x:c>
      <x:c r="M41" s="147" t="str">
        <x:v>PWA</x:v>
      </x:c>
      <x:c r="N41" s="147" t="str">
        <x:v>درخواست هر زمان قابل ثبت است و تسویه تا ۷۲ ساعت اعلام شده</x:v>
      </x:c>
      <x:c r="O41" s="147" t="str">
        <x:v>نامشخص</x:v>
      </x:c>
      <x:c r="P41" s="147" t="str">
        <x:v>FAQ: روزانه ۱ میلیارد؛ مودال: ۳ میلیارد ریال</x:v>
      </x:c>
      <x:c r="Q41" s="147" t="str">
        <x:v>FAQ زنده مشاهده شد</x:v>
      </x:c>
      <x:c r="R41" s="147" t="str">
        <x:v>panel-faq.jpg</x:v>
      </x:c>
      <x:c r="S41" s="147" t="str">
        <x:v>سقف روزانه FAQ با مودال فعلی تعارض دارد</x:v>
      </x:c>
      <x:c r="T41" s="147" t="str">
        <x:v>Withdrawal</x:v>
      </x:c>
    </x:row>
    <x:row r="42">
      <x:c r="A42" s="146" t="str">
        <x:v>SH-TXN-001</x:v>
      </x:c>
      <x:c r="B42" s="147" t="str">
        <x:v>تراکنش</x:v>
      </x:c>
      <x:c r="C42" s="147" t="str">
        <x:v>لیست تراکنش‌ها</x:v>
      </x:c>
      <x:c r="D42" s="147" t="str">
        <x:v>نمایش تاریخچه واریز، برداشت، خرید، فروش و خدمات دیگر</x:v>
      </x:c>
      <x:c r="E42" s="147" t="str">
        <x:v>کنترل و پیگیری فعالیت مالی</x:v>
      </x:c>
      <x:c r="F42" s="147" t="str">
        <x:v>/app/transaction</x:v>
      </x:c>
      <x:c r="G42" s="147" t="str">
        <x:v>تب تراکنش‌ها</x:v>
      </x:c>
      <x:c r="H42" s="147" t="str">
        <x:v>ورود</x:v>
      </x:c>
      <x:c r="I42" s="147" t="str">
        <x:v>لازم</x:v>
      </x:c>
      <x:c r="J42" s="147" t="str">
        <x:v>ندارد</x:v>
      </x:c>
      <x:c r="K42" s="148" t="str">
        <x:v>مشاهده‌شده</x:v>
      </x:c>
      <x:c r="L42" s="148" t="str">
        <x:v>فعال</x:v>
      </x:c>
      <x:c r="M42" s="147" t="str">
        <x:v>PWA</x:v>
      </x:c>
      <x:c r="N42" s="147" t="str">
        <x:v>آیتم‌ها عنوان، تاریخ/ساعت و مبلغ یا سوت دارند</x:v>
      </x:c>
      <x:c r="O42" s="147" t="str">
        <x:v>ندارد</x:v>
      </x:c>
      <x:c r="P42" s="147" t="str">
        <x:v>ندارد</x:v>
      </x:c>
      <x:c r="Q42" s="147" t="str">
        <x:v>سه تراکنش نمونه در حساب مشاهده شد</x:v>
      </x:c>
      <x:c r="R42" s="147" t="str">
        <x:v>panel-transaction.jpg</x:v>
      </x:c>
      <x:c r="S42" s="147" t="str">
        <x:v>جستجو و بازه زمانی مشاهده نشد</x:v>
      </x:c>
      <x:c r="T42" s="147" t="str">
        <x:v>History</x:v>
      </x:c>
    </x:row>
    <x:row r="43">
      <x:c r="A43" s="146" t="str">
        <x:v>SH-TXN-002</x:v>
      </x:c>
      <x:c r="B43" s="147" t="str">
        <x:v>تراکنش</x:v>
      </x:c>
      <x:c r="C43" s="147" t="str">
        <x:v>فیلتر نوع تراکنش</x:v>
      </x:c>
      <x:c r="D43" s="147" t="str">
        <x:v>فیلتر همه، واریز، برداشت، خرید، فروش، دریافت، فیزیکی، انتقال، اقساط، کارت و پاداش</x:v>
      </x:c>
      <x:c r="E43" s="147" t="str">
        <x:v>یافتن سریع تراکنش موردنظر</x:v>
      </x:c>
      <x:c r="F43" s="147" t="str">
        <x:v>/app/transaction</x:v>
      </x:c>
      <x:c r="G43" s="147" t="str">
        <x:v>بالای لیست</x:v>
      </x:c>
      <x:c r="H43" s="147" t="str">
        <x:v>ورود</x:v>
      </x:c>
      <x:c r="I43" s="147" t="str">
        <x:v>لازم</x:v>
      </x:c>
      <x:c r="J43" s="147" t="str">
        <x:v>ندارد</x:v>
      </x:c>
      <x:c r="K43" s="148" t="str">
        <x:v>مشاهده‌شده</x:v>
      </x:c>
      <x:c r="L43" s="148" t="str">
        <x:v>فعال</x:v>
      </x:c>
      <x:c r="M43" s="147" t="str">
        <x:v>PWA</x:v>
      </x:c>
      <x:c r="N43" s="147" t="str">
        <x:v>۱۱ تب نوع تراکنش مشاهده شد</x:v>
      </x:c>
      <x:c r="O43" s="147" t="str">
        <x:v>ندارد</x:v>
      </x:c>
      <x:c r="P43" s="147" t="str">
        <x:v>ندارد</x:v>
      </x:c>
      <x:c r="Q43" s="147" t="str">
        <x:v>تب‌های فیلتر زنده مشاهده شدند</x:v>
      </x:c>
      <x:c r="R43" s="147" t="str">
        <x:v>panel-transaction.jpg</x:v>
      </x:c>
      <x:c r="S43" s="147" t="str">
        <x:v>فیلتر وضعیت موفق/ناموفق مشاهده نشد</x:v>
      </x:c>
      <x:c r="T43" s="147" t="str">
        <x:v>History</x:v>
      </x:c>
    </x:row>
    <x:row r="44">
      <x:c r="A44" s="146" t="str">
        <x:v>SH-TXN-003</x:v>
      </x:c>
      <x:c r="B44" s="147" t="str">
        <x:v>تراکنش</x:v>
      </x:c>
      <x:c r="C44" s="147" t="str">
        <x:v>جزئیات و کد پیگیری</x:v>
      </x:c>
      <x:c r="D44" s="147" t="str">
        <x:v>صفحه رسید با وضعیت، اثر بر موجودی، قیمت، کارمزد و کد پیگیری</x:v>
      </x:c>
      <x:c r="E44" s="147" t="str">
        <x:v>رسیدگی به اختلاف یا پشتیبانی</x:v>
      </x:c>
      <x:c r="F44" s="147" t="str">
        <x:v>جزئیات تراکنش</x:v>
      </x:c>
      <x:c r="G44" s="147" t="str">
        <x:v>کلیک آیتم</x:v>
      </x:c>
      <x:c r="H44" s="147" t="str">
        <x:v>ورود</x:v>
      </x:c>
      <x:c r="I44" s="147" t="str">
        <x:v>لازم</x:v>
      </x:c>
      <x:c r="J44" s="147" t="str">
        <x:v>تراکنش موجود</x:v>
      </x:c>
      <x:c r="K44" s="148" t="str">
        <x:v>مشاهده‌شده</x:v>
      </x:c>
      <x:c r="L44" s="148" t="str">
        <x:v>فعال</x:v>
      </x:c>
      <x:c r="M44" s="147" t="str">
        <x:v>PWA</x:v>
      </x:c>
      <x:c r="N44" s="147" t="str">
        <x:v>جزئیات بر اساس نوع تراکنش تغییر می‌کند</x:v>
      </x:c>
      <x:c r="O44" s="147" t="str">
        <x:v>در رسید</x:v>
      </x:c>
      <x:c r="P44" s="147" t="str">
        <x:v>ندارد</x:v>
      </x:c>
      <x:c r="Q44" s="147" t="str">
        <x:v>جزئیات خرید و واریز مشاهده شد</x:v>
      </x:c>
      <x:c r="R44" s="147" t="str">
        <x:v>panel-transaction-detail.jpg</x:v>
      </x:c>
      <x:c r="S44" s="147" t="str">
        <x:v>وضعیت ناموفق یا در انتظار مشاهده نشد</x:v>
      </x:c>
      <x:c r="T44" s="147" t="str">
        <x:v>Receipt</x:v>
      </x:c>
    </x:row>
    <x:row r="45">
      <x:c r="A45" s="146" t="str">
        <x:v>SH-TXN-004</x:v>
      </x:c>
      <x:c r="B45" s="147" t="str">
        <x:v>تراکنش</x:v>
      </x:c>
      <x:c r="C45" s="147" t="str">
        <x:v>ذخیره رسید در گالری</x:v>
      </x:c>
      <x:c r="D45" s="147" t="str">
        <x:v>خروجی تصویری رسید برای نگهداری</x:v>
      </x:c>
      <x:c r="E45" s="147" t="str">
        <x:v>ثبت مدرک خارج از اپ</x:v>
      </x:c>
      <x:c r="F45" s="147" t="str">
        <x:v>جزئیات تراکنش</x:v>
      </x:c>
      <x:c r="G45" s="147" t="str">
        <x:v>دکمه ذخیره در گالری</x:v>
      </x:c>
      <x:c r="H45" s="147" t="str">
        <x:v>ورود</x:v>
      </x:c>
      <x:c r="I45" s="147" t="str">
        <x:v>لازم</x:v>
      </x:c>
      <x:c r="J45" s="147" t="str">
        <x:v>تراکنش موجود</x:v>
      </x:c>
      <x:c r="K45" s="148" t="str">
        <x:v>مشاهده‌شده</x:v>
      </x:c>
      <x:c r="L45" s="148" t="str">
        <x:v>فعال</x:v>
      </x:c>
      <x:c r="M45" s="147" t="str">
        <x:v>PWA</x:v>
      </x:c>
      <x:c r="N45" s="147" t="str">
        <x:v>دکمه در رسید خرید و واریز دیده شد</x:v>
      </x:c>
      <x:c r="O45" s="147" t="str">
        <x:v>ندارد</x:v>
      </x:c>
      <x:c r="P45" s="147" t="str">
        <x:v>ندارد</x:v>
      </x:c>
      <x:c r="Q45" s="147" t="str">
        <x:v>CTA زنده مشاهده شد</x:v>
      </x:c>
      <x:c r="R45" s="147" t="str">
        <x:v>test-buy-transaction-detail.jpg</x:v>
      </x:c>
      <x:c r="S45" s="147" t="str">
        <x:v>دانلود واقعی اجرا نشد</x:v>
      </x:c>
      <x:c r="T45" s="147" t="str">
        <x:v>Receipt</x:v>
      </x:c>
    </x:row>
    <x:row r="46">
      <x:c r="A46" s="146" t="str">
        <x:v>SH-TXN-005</x:v>
      </x:c>
      <x:c r="B46" s="147" t="str">
        <x:v>تراکنش</x:v>
      </x:c>
      <x:c r="C46" s="147" t="str">
        <x:v>اشتراک‌گذاری رسید</x:v>
      </x:c>
      <x:c r="D46" s="147" t="str">
        <x:v>اشتراک رسید از صفحه جزئیات</x:v>
      </x:c>
      <x:c r="E46" s="147" t="str">
        <x:v>ارسال مدرک معامله</x:v>
      </x:c>
      <x:c r="F46" s="147" t="str">
        <x:v>جزئیات تراکنش</x:v>
      </x:c>
      <x:c r="G46" s="147" t="str">
        <x:v>دکمه اشتراک‌گذاری</x:v>
      </x:c>
      <x:c r="H46" s="147" t="str">
        <x:v>ورود</x:v>
      </x:c>
      <x:c r="I46" s="147" t="str">
        <x:v>لازم</x:v>
      </x:c>
      <x:c r="J46" s="147" t="str">
        <x:v>تراکنش موجود</x:v>
      </x:c>
      <x:c r="K46" s="148" t="str">
        <x:v>مشاهده‌شده</x:v>
      </x:c>
      <x:c r="L46" s="148" t="str">
        <x:v>فعال</x:v>
      </x:c>
      <x:c r="M46" s="147" t="str">
        <x:v>PWA</x:v>
      </x:c>
      <x:c r="N46" s="147" t="str">
        <x:v>اشتراک‌گذاری از خود رسید انجام می‌شود</x:v>
      </x:c>
      <x:c r="O46" s="147" t="str">
        <x:v>ندارد</x:v>
      </x:c>
      <x:c r="P46" s="147" t="str">
        <x:v>ندارد</x:v>
      </x:c>
      <x:c r="Q46" s="147" t="str">
        <x:v>CTA زنده مشاهده شد</x:v>
      </x:c>
      <x:c r="R46" s="147" t="str">
        <x:v>test-buy-transaction-detail.jpg</x:v>
      </x:c>
      <x:c r="S46" s="147" t="str">
        <x:v>اشتراک واقعی انجام نشد</x:v>
      </x:c>
      <x:c r="T46" s="147" t="str">
        <x:v>Receipt</x:v>
      </x:c>
    </x:row>
    <x:row r="47">
      <x:c r="A47" s="146" t="str">
        <x:v>SH-SERVICE-001</x:v>
      </x:c>
      <x:c r="B47" s="147" t="str">
        <x:v>خدمات</x:v>
      </x:c>
      <x:c r="C47" s="147" t="str">
        <x:v>هاب خدمات</x:v>
      </x:c>
      <x:c r="D47" s="147" t="str">
        <x:v>شبکه دسترسی به خرید، اقساط، فروش، کارت، انتقال و تحویل</x:v>
      </x:c>
      <x:c r="E47" s="147" t="str">
        <x:v>کشف همه خدمات در یک صفحه</x:v>
      </x:c>
      <x:c r="F47" s="147" t="str">
        <x:v>/app/service</x:v>
      </x:c>
      <x:c r="G47" s="147" t="str">
        <x:v>تب خدمات</x:v>
      </x:c>
      <x:c r="H47" s="147" t="str">
        <x:v>ورود</x:v>
      </x:c>
      <x:c r="I47" s="147" t="str">
        <x:v>متناسب با خدمت</x:v>
      </x:c>
      <x:c r="J47" s="147" t="str">
        <x:v>متناسب با خدمت</x:v>
      </x:c>
      <x:c r="K47" s="148" t="str">
        <x:v>مشاهده‌شده</x:v>
      </x:c>
      <x:c r="L47" s="148" t="str">
        <x:v>فعال</x:v>
      </x:c>
      <x:c r="M47" s="147" t="str">
        <x:v>PWA</x:v>
      </x:c>
      <x:c r="N47" s="147" t="str">
        <x:v>شش خدمت اصلی نمایش داده می‌شود</x:v>
      </x:c>
      <x:c r="O47" s="147" t="str">
        <x:v>مطابق خدمت</x:v>
      </x:c>
      <x:c r="P47" s="147" t="str">
        <x:v>مطابق خدمت</x:v>
      </x:c>
      <x:c r="Q47" s="147" t="str">
        <x:v>صفحه خدمات زنده مشاهده شد</x:v>
      </x:c>
      <x:c r="R47" s="147" t="str">
        <x:v>panel-service.jpg</x:v>
      </x:c>
      <x:c r="S47" s="147" t="str">
        <x:v>وضعیت فعال/غیرفعال پیش از ورود به کارت‌ها مشخص نیست</x:v>
      </x:c>
      <x:c r="T47" s="147" t="str">
        <x:v>ServiceHub</x:v>
      </x:c>
    </x:row>
    <x:row r="48">
      <x:c r="A48" s="146" t="str">
        <x:v>SH-TRANSFER-001</x:v>
      </x:c>
      <x:c r="B48" s="147" t="str">
        <x:v>انتقال طلا</x:v>
      </x:c>
      <x:c r="C48" s="147" t="str">
        <x:v>انتقال طلا به طلا</x:v>
      </x:c>
      <x:c r="D48" s="147" t="str">
        <x:v>ارسال طلا به کاربر دیگر در بستر شمش</x:v>
      </x:c>
      <x:c r="E48" s="147" t="str">
        <x:v>انتقال دارایی بدون فروش</x:v>
      </x:c>
      <x:c r="F48" s="147" t="str">
        <x:v>/app/gold-transfer</x:v>
      </x:c>
      <x:c r="G48" s="147" t="str">
        <x:v>خدمات &gt; انتقال طلا به طلا</x:v>
      </x:c>
      <x:c r="H48" s="147" t="str">
        <x:v>ورود</x:v>
      </x:c>
      <x:c r="I48" s="147" t="str">
        <x:v>لازم</x:v>
      </x:c>
      <x:c r="J48" s="147" t="str">
        <x:v>موجودی طلا</x:v>
      </x:c>
      <x:c r="K48" s="148" t="str">
        <x:v>مشاهده‌شده</x:v>
      </x:c>
      <x:c r="L48" s="148" t="str">
        <x:v>غیرفعال</x:v>
      </x:c>
      <x:c r="M48" s="147" t="str">
        <x:v>PWA</x:v>
      </x:c>
      <x:c r="N48" s="147" t="str">
        <x:v>صفحه می‌گوید در حال حاضر امکان‌پذیر نیست</x:v>
      </x:c>
      <x:c r="O48" s="147" t="str">
        <x:v>لندینگ بدون کارمزد؛ قوانین مستلزم کارمزد</x:v>
      </x:c>
      <x:c r="P48" s="147" t="str">
        <x:v>روزانه ۱۵۰هزار و ماهانه ۲میلیون سوت در مودال</x:v>
      </x:c>
      <x:c r="Q48" s="147" t="str">
        <x:v>صفحه غیرفعال زنده مشاهده شد</x:v>
      </x:c>
      <x:c r="R48" s="147" t="str">
        <x:v>panel-gold-transfer.jpg</x:v>
      </x:c>
      <x:c r="S48" s="147" t="str">
        <x:v>وعده ۲۴ ساعته لندینگ با وضعیت پنل تعارض دارد</x:v>
      </x:c>
      <x:c r="T48" s="147" t="str">
        <x:v>Transfer</x:v>
      </x:c>
    </x:row>
    <x:row r="49">
      <x:c r="A49" s="146" t="str">
        <x:v>SH-PHYSICAL-001</x:v>
      </x:c>
      <x:c r="B49" s="147" t="str">
        <x:v>تحویل فیزیکی</x:v>
      </x:c>
      <x:c r="C49" s="147" t="str">
        <x:v>شروع درخواست دریافت فیزیکی</x:v>
      </x:c>
      <x:c r="D49" s="147" t="str">
        <x:v>تبدیل دارایی آنلاین به طلای فیزیکی</x:v>
      </x:c>
      <x:c r="E49" s="147" t="str">
        <x:v>دریافت دارایی واقعی</x:v>
      </x:c>
      <x:c r="F49" s="147" t="str">
        <x:v>/app/get-gold</x:v>
      </x:c>
      <x:c r="G49" s="147" t="str">
        <x:v>خدمات &gt; دریافت فیزیکی</x:v>
      </x:c>
      <x:c r="H49" s="147" t="str">
        <x:v>ورود</x:v>
      </x:c>
      <x:c r="I49" s="147" t="str">
        <x:v>لازم</x:v>
      </x:c>
      <x:c r="J49" s="147" t="str">
        <x:v>حداقل موجودی طلا</x:v>
      </x:c>
      <x:c r="K49" s="148" t="str">
        <x:v>مشاهده‌شده</x:v>
      </x:c>
      <x:c r="L49" s="148" t="str">
        <x:v>فعال مشروط</x:v>
      </x:c>
      <x:c r="M49" s="147" t="str">
        <x:v>PWA</x:v>
      </x:c>
      <x:c r="N49" s="147" t="str">
        <x:v>هر ۱۰۰۰ سوت طلای ۱۸ عیار معادل ۱ گرم است</x:v>
      </x:c>
      <x:c r="O49" s="147" t="str">
        <x:v>در حداقل ۲۰۴ سوت لحاظ شده اما نرخ روشن نیست</x:v>
      </x:c>
      <x:c r="P49" s="147" t="str">
        <x:v>حداقل ۲۰۴ سوت با احتساب کارمزد</x:v>
      </x:c>
      <x:c r="Q49" s="147" t="str">
        <x:v>صفحه دریافت فیزیکی مشاهده شد</x:v>
      </x:c>
      <x:c r="R49" s="147" t="str">
        <x:v>panel-get-gold.jpg</x:v>
      </x:c>
      <x:c r="S49" s="147" t="str">
        <x:v>مرحله بعد به دلیل موجودی صفر قابل مشاهده نبود</x:v>
      </x:c>
      <x:c r="T49" s="147" t="str">
        <x:v>Physical</x:v>
      </x:c>
    </x:row>
    <x:row r="50">
      <x:c r="A50" s="146" t="str">
        <x:v>SH-PHYSICAL-002</x:v>
      </x:c>
      <x:c r="B50" s="147" t="str">
        <x:v>تحویل فیزیکی</x:v>
      </x:c>
      <x:c r="C50" s="147" t="str">
        <x:v>خرید طلا برای تحویل</x:v>
      </x:c>
      <x:c r="D50" s="147" t="str">
        <x:v>میانبر خرید در صورت ناکافی بودن موجودی</x:v>
      </x:c>
      <x:c r="E50" s="147" t="str">
        <x:v>تکمیل پیش‌نیاز درخواست</x:v>
      </x:c>
      <x:c r="F50" s="147" t="str">
        <x:v>/app/get-gold</x:v>
      </x:c>
      <x:c r="G50" s="147" t="str">
        <x:v>پیام موجودی ناکافی</x:v>
      </x:c>
      <x:c r="H50" s="147" t="str">
        <x:v>ورود</x:v>
      </x:c>
      <x:c r="I50" s="147" t="str">
        <x:v>لازم</x:v>
      </x:c>
      <x:c r="J50" s="147" t="str">
        <x:v>کمبود موجودی</x:v>
      </x:c>
      <x:c r="K50" s="148" t="str">
        <x:v>مشاهده‌شده</x:v>
      </x:c>
      <x:c r="L50" s="148" t="str">
        <x:v>فعال</x:v>
      </x:c>
      <x:c r="M50" s="147" t="str">
        <x:v>PWA</x:v>
      </x:c>
      <x:c r="N50" s="147" t="str">
        <x:v>کاربر برای رسیدن به حداقل به صفحه خرید هدایت می‌شود</x:v>
      </x:c>
      <x:c r="O50" s="147" t="str">
        <x:v>طبق خرید و تحویل</x:v>
      </x:c>
      <x:c r="P50" s="147" t="str">
        <x:v>۲۰۴ سوت برای شروع</x:v>
      </x:c>
      <x:c r="Q50" s="147" t="str">
        <x:v>لینک خرید طلا در صفحه مشاهده شد</x:v>
      </x:c>
      <x:c r="R50" s="147" t="str">
        <x:v>panel-get-gold.jpg</x:v>
      </x:c>
      <x:c r="S50" s="147" t="str">
        <x:v>منطق دقیق کارمزد حداقل توضیح داده نشده است</x:v>
      </x:c>
      <x:c r="T50" s="147" t="str">
        <x:v>Physical</x:v>
      </x:c>
    </x:row>
    <x:row r="51">
      <x:c r="A51" s="146" t="str">
        <x:v>SH-PHYSICAL-003</x:v>
      </x:c>
      <x:c r="B51" s="147" t="str">
        <x:v>تحویل فیزیکی</x:v>
      </x:c>
      <x:c r="C51" s="147" t="str">
        <x:v>طلاهای فیزیکی من</x:v>
      </x:c>
      <x:c r="D51" s="147" t="str">
        <x:v>پیگیری درخواست‌ها در وضعیت آماده‌سازی، آماده دریافت، دریافت‌شده و لغوشده</x:v>
      </x:c>
      <x:c r="E51" s="147" t="str">
        <x:v>پیگیری سفارش فیزیکی</x:v>
      </x:c>
      <x:c r="F51" s="147" t="str">
        <x:v>/app/my-requests</x:v>
      </x:c>
      <x:c r="G51" s="147" t="str">
        <x:v>پروفایل &gt; طلاهای فیزیکی من</x:v>
      </x:c>
      <x:c r="H51" s="147" t="str">
        <x:v>ورود</x:v>
      </x:c>
      <x:c r="I51" s="147" t="str">
        <x:v>لازم</x:v>
      </x:c>
      <x:c r="J51" s="147" t="str">
        <x:v>درخواست ثبت‌شده</x:v>
      </x:c>
      <x:c r="K51" s="148" t="str">
        <x:v>مشاهده‌شده</x:v>
      </x:c>
      <x:c r="L51" s="148" t="str">
        <x:v>فعال</x:v>
      </x:c>
      <x:c r="M51" s="147" t="str">
        <x:v>PWA</x:v>
      </x:c>
      <x:c r="N51" s="147" t="str">
        <x:v>چهار شمارنده وضعیت نمایش داده می‌شود</x:v>
      </x:c>
      <x:c r="O51" s="147" t="str">
        <x:v>نامشخص</x:v>
      </x:c>
      <x:c r="P51" s="147" t="str">
        <x:v>ندارد</x:v>
      </x:c>
      <x:c r="Q51" s="147" t="str">
        <x:v>صفحه empty state و چهار وضعیت مشاهده شد</x:v>
      </x:c>
      <x:c r="R51" s="147" t="str">
        <x:v>panel-my-requests.jpg</x:v>
      </x:c>
      <x:c r="S51" s="147" t="str">
        <x:v>جزئیات محصول، محل و SLA بدون درخواست فعال دیده نشد</x:v>
      </x:c>
      <x:c r="T51" s="147" t="str">
        <x:v>Physical</x:v>
      </x:c>
    </x:row>
    <x:row r="52">
      <x:c r="A52" s="146" t="str">
        <x:v>SH-GIFT-001</x:v>
      </x:c>
      <x:c r="B52" s="147" t="str">
        <x:v>کارت هدیه</x:v>
      </x:c>
      <x:c r="C52" s="147" t="str">
        <x:v>هاب کارت هدیه</x:v>
      </x:c>
      <x:c r="D52" s="147" t="str">
        <x:v>تفکیک خرید کارت و تبدیل کارت هدیه به طلا</x:v>
      </x:c>
      <x:c r="E52" s="147" t="str">
        <x:v>درک دو سناریوی کارت</x:v>
      </x:c>
      <x:c r="F52" s="147" t="str">
        <x:v>/app/gift-card</x:v>
      </x:c>
      <x:c r="G52" s="147" t="str">
        <x:v>خدمات &gt; دریافت کارت هدیه</x:v>
      </x:c>
      <x:c r="H52" s="147" t="str">
        <x:v>ورود</x:v>
      </x:c>
      <x:c r="I52" s="147" t="str">
        <x:v>نامشخص</x:v>
      </x:c>
      <x:c r="J52" s="147" t="str">
        <x:v>ندارد</x:v>
      </x:c>
      <x:c r="K52" s="148" t="str">
        <x:v>مشاهده‌شده</x:v>
      </x:c>
      <x:c r="L52" s="148" t="str">
        <x:v>فعال محدود</x:v>
      </x:c>
      <x:c r="M52" s="147" t="str">
        <x:v>PWA</x:v>
      </x:c>
      <x:c r="N52" s="147" t="str">
        <x:v>دو مسیر خرید و تبدیل معرفی شده‌اند</x:v>
      </x:c>
      <x:c r="O52" s="147" t="str">
        <x:v>نامشخص</x:v>
      </x:c>
      <x:c r="P52" s="147" t="str">
        <x:v>نامشخص</x:v>
      </x:c>
      <x:c r="Q52" s="147" t="str">
        <x:v>صفحه کارت هدیه مشاهده شد</x:v>
      </x:c>
      <x:c r="R52" s="147" t="str">
        <x:v>panel-gift-card.jpg</x:v>
      </x:c>
      <x:c r="S52" s="147" t="str">
        <x:v>نام کارت در بخش خدمات «دریافت کارت هدیه» است</x:v>
      </x:c>
      <x:c r="T52" s="147" t="str">
        <x:v>GiftCard</x:v>
      </x:c>
    </x:row>
    <x:row r="53">
      <x:c r="A53" s="146" t="str">
        <x:v>SH-GIFT-002</x:v>
      </x:c>
      <x:c r="B53" s="147" t="str">
        <x:v>کارت هدیه</x:v>
      </x:c>
      <x:c r="C53" s="147" t="str">
        <x:v>خرید کارت هدیه طلا</x:v>
      </x:c>
      <x:c r="D53" s="147" t="str">
        <x:v>صدور/خرید کارت هدیه مبتنی بر طلا</x:v>
      </x:c>
      <x:c r="E53" s="147" t="str">
        <x:v>هدیه دادن دارایی ارزشمند</x:v>
      </x:c>
      <x:c r="F53" s="147" t="str">
        <x:v>/app/gift-card</x:v>
      </x:c>
      <x:c r="G53" s="147" t="str">
        <x:v>کارت خرید</x:v>
      </x:c>
      <x:c r="H53" s="147" t="str">
        <x:v>ورود</x:v>
      </x:c>
      <x:c r="I53" s="147" t="str">
        <x:v>نامشخص</x:v>
      </x:c>
      <x:c r="J53" s="147" t="str">
        <x:v>نامشخص</x:v>
      </x:c>
      <x:c r="K53" s="148" t="str">
        <x:v>مشاهده‌شده</x:v>
      </x:c>
      <x:c r="L53" s="148" t="str">
        <x:v>به‌زودی</x:v>
      </x:c>
      <x:c r="M53" s="147" t="str">
        <x:v>PWA</x:v>
      </x:c>
      <x:c r="N53" s="147" t="str">
        <x:v>در UI فقط برچسب به‌زودی نمایش داده می‌شود</x:v>
      </x:c>
      <x:c r="O53" s="147" t="str">
        <x:v>نامشخص</x:v>
      </x:c>
      <x:c r="P53" s="147" t="str">
        <x:v>نامشخص</x:v>
      </x:c>
      <x:c r="Q53" s="147" t="str">
        <x:v>وضعیت به‌زودی زنده مشاهده شد</x:v>
      </x:c>
      <x:c r="R53" s="147" t="str">
        <x:v>panel-gift-card.jpg</x:v>
      </x:c>
      <x:c r="S53" s="147" t="str">
        <x:v>قواعد صدور، مبلغ، انقضا و ابطال مشخص نیست</x:v>
      </x:c>
      <x:c r="T53" s="147" t="str">
        <x:v>GiftCard</x:v>
      </x:c>
    </x:row>
    <x:row r="54">
      <x:c r="A54" s="146" t="str">
        <x:v>SH-GIFT-003</x:v>
      </x:c>
      <x:c r="B54" s="147" t="str">
        <x:v>کارت هدیه</x:v>
      </x:c>
      <x:c r="C54" s="147" t="str">
        <x:v>تبدیل کارت هدیه به طلا</x:v>
      </x:c>
      <x:c r="D54" s="147" t="str">
        <x:v>ورود شماره ۱۱/۱۲ رقمی و رمز ۶ رقمی کارت</x:v>
      </x:c>
      <x:c r="E54" s="147" t="str">
        <x:v>افزودن ارزش کارت به طلای کاربر</x:v>
      </x:c>
      <x:c r="F54" s="147" t="str">
        <x:v>/app/gift-card-details</x:v>
      </x:c>
      <x:c r="G54" s="147" t="str">
        <x:v>کارت تبدیل</x:v>
      </x:c>
      <x:c r="H54" s="147" t="str">
        <x:v>ورود</x:v>
      </x:c>
      <x:c r="I54" s="147" t="str">
        <x:v>احتمالاً لازم</x:v>
      </x:c>
      <x:c r="J54" s="147" t="str">
        <x:v>کارت معتبر</x:v>
      </x:c>
      <x:c r="K54" s="148" t="str">
        <x:v>مشاهده‌شده</x:v>
      </x:c>
      <x:c r="L54" s="148" t="str">
        <x:v>فعال</x:v>
      </x:c>
      <x:c r="M54" s="147" t="str">
        <x:v>PWA</x:v>
      </x:c>
      <x:c r="N54" s="147" t="str">
        <x:v>شماره کارت ۱۱ یا ۱۲ رقم و رمز ۶ رقم است</x:v>
      </x:c>
      <x:c r="O54" s="147" t="str">
        <x:v>نامشخص</x:v>
      </x:c>
      <x:c r="P54" s="147" t="str">
        <x:v>طبق ارزش کارت</x:v>
      </x:c>
      <x:c r="Q54" s="147" t="str">
        <x:v>فرم تبدیل زنده مشاهده شد</x:v>
      </x:c>
      <x:c r="R54" s="147" t="str">
        <x:v>gift-card-details.png</x:v>
      </x:c>
      <x:c r="S54" s="147" t="str">
        <x:v>مرحله بعد با کارت معتبر تست نشد</x:v>
      </x:c>
      <x:c r="T54" s="147" t="str">
        <x:v>GiftCard</x:v>
      </x:c>
    </x:row>
    <x:row r="55">
      <x:c r="A55" s="146" t="str">
        <x:v>SH-GIFT-004</x:v>
      </x:c>
      <x:c r="B55" s="147" t="str">
        <x:v>کارت هدیه</x:v>
      </x:c>
      <x:c r="C55" s="147" t="str">
        <x:v>راهنمای تبدیل کارت</x:v>
      </x:c>
      <x:c r="D55" s="147" t="str">
        <x:v>لینک/کنترل راهنما کنار فرم تبدیل</x:v>
      </x:c>
      <x:c r="E55" s="147" t="str">
        <x:v>کاهش خطای ورود اطلاعات کارت</x:v>
      </x:c>
      <x:c r="F55" s="147" t="str">
        <x:v>/app/gift-card-details</x:v>
      </x:c>
      <x:c r="G55" s="147" t="str">
        <x:v>متن راهنما</x:v>
      </x:c>
      <x:c r="H55" s="147" t="str">
        <x:v>ورود</x:v>
      </x:c>
      <x:c r="I55" s="147" t="str">
        <x:v>ندارد</x:v>
      </x:c>
      <x:c r="J55" s="147" t="str">
        <x:v>ندارد</x:v>
      </x:c>
      <x:c r="K55" s="148" t="str">
        <x:v>مشاهده‌شده</x:v>
      </x:c>
      <x:c r="L55" s="148" t="str">
        <x:v>ناپایدار</x:v>
      </x:c>
      <x:c r="M55" s="147" t="str">
        <x:v>PWA</x:v>
      </x:c>
      <x:c r="N55" s="147" t="str">
        <x:v>در تست قبلی کلیک تغییر قابل مشاهده‌ای ایجاد نکرد</x:v>
      </x:c>
      <x:c r="O55" s="147" t="str">
        <x:v>ندارد</x:v>
      </x:c>
      <x:c r="P55" s="147" t="str">
        <x:v>ندارد</x:v>
      </x:c>
      <x:c r="Q55" s="147" t="str">
        <x:v>کنترل راهنما مشاهده شد</x:v>
      </x:c>
      <x:c r="R55" s="147" t="str">
        <x:v>test-gift-card-guide.jpg</x:v>
      </x:c>
      <x:c r="S55" s="147" t="str">
        <x:v>رفتار مورد انتظار روشن نیست</x:v>
      </x:c>
      <x:c r="T55" s="147" t="str">
        <x:v>GiftCard</x:v>
      </x:c>
    </x:row>
    <x:row r="56">
      <x:c r="A56" s="146" t="str">
        <x:v>SH-INST-001</x:v>
      </x:c>
      <x:c r="B56" s="147" t="str">
        <x:v>اقساط</x:v>
      </x:c>
      <x:c r="C56" s="147" t="str">
        <x:v>محاسبه‌گر خرید اقساطی</x:v>
      </x:c>
      <x:c r="D56" s="147" t="str">
        <x:v>انتخاب مبلغ ۱۰۰ تا ۷۰۰ میلیون ریال و مشاهده طلای دریافتی</x:v>
      </x:c>
      <x:c r="E56" s="147" t="str">
        <x:v>برآورد خرید قبل از تعهد</x:v>
      </x:c>
      <x:c r="F56" s="147" t="str">
        <x:v>/app/installment-purchase</x:v>
      </x:c>
      <x:c r="G56" s="147" t="str">
        <x:v>خانه و خدمات</x:v>
      </x:c>
      <x:c r="H56" s="147" t="str">
        <x:v>ورود</x:v>
      </x:c>
      <x:c r="I56" s="147" t="str">
        <x:v>لازم</x:v>
      </x:c>
      <x:c r="J56" s="147" t="str">
        <x:v>اعتبار/توان بازپرداخت</x:v>
      </x:c>
      <x:c r="K56" s="148" t="str">
        <x:v>مشاهده‌شده</x:v>
      </x:c>
      <x:c r="L56" s="148" t="str">
        <x:v>فعال</x:v>
      </x:c>
      <x:c r="M56" s="147" t="str">
        <x:v>PWA</x:v>
      </x:c>
      <x:c r="N56" s="147" t="str">
        <x:v>مبلغ با کنترل range انتخاب می‌شود</x:v>
      </x:c>
      <x:c r="O56" s="147" t="str">
        <x:v>کارمزد خرید و هزینه خدمات</x:v>
      </x:c>
      <x:c r="P56" s="147" t="str">
        <x:v>۱۰۰ تا ۷۰۰ میلیون ریال</x:v>
      </x:c>
      <x:c r="Q56" s="147" t="str">
        <x:v>محاسبه‌گر زنده مشاهده شد</x:v>
      </x:c>
      <x:c r="R56" s="147" t="str">
        <x:v>panel-installment-purchase.jpg</x:v>
      </x:c>
      <x:c r="S56" s="147" t="str">
        <x:v>شریک اعتباری در UI معرفی نشده است</x:v>
      </x:c>
      <x:c r="T56" s="147" t="str">
        <x:v>Installment</x:v>
      </x:c>
    </x:row>
    <x:row r="57">
      <x:c r="A57" s="146" t="str">
        <x:v>SH-INST-002</x:v>
      </x:c>
      <x:c r="B57" s="147" t="str">
        <x:v>اقساط</x:v>
      </x:c>
      <x:c r="C57" s="147" t="str">
        <x:v>انتخاب مدت بازپرداخت</x:v>
      </x:c>
      <x:c r="D57" s="147" t="str">
        <x:v>انتخاب بازپرداخت ۳ یا ۶ ماهه و نمایش مبلغ هر قسط</x:v>
      </x:c>
      <x:c r="E57" s="147" t="str">
        <x:v>مقایسه فشار پرداخت</x:v>
      </x:c>
      <x:c r="F57" s="147" t="str">
        <x:v>/app/installment-purchase</x:v>
      </x:c>
      <x:c r="G57" s="147" t="str">
        <x:v>محاسبه‌گر</x:v>
      </x:c>
      <x:c r="H57" s="147" t="str">
        <x:v>ورود</x:v>
      </x:c>
      <x:c r="I57" s="147" t="str">
        <x:v>لازم</x:v>
      </x:c>
      <x:c r="J57" s="147" t="str">
        <x:v>ندارد</x:v>
      </x:c>
      <x:c r="K57" s="148" t="str">
        <x:v>مشاهده‌شده</x:v>
      </x:c>
      <x:c r="L57" s="148" t="str">
        <x:v>فعال</x:v>
      </x:c>
      <x:c r="M57" s="147" t="str">
        <x:v>PWA</x:v>
      </x:c>
      <x:c r="N57" s="147" t="str">
        <x:v>نرخ سالانه ۲۳٪ در محاسبه‌گر نمایش داده می‌شود</x:v>
      </x:c>
      <x:c r="O57" s="147" t="str">
        <x:v>۲۳٪ سالانه + هزینه‌ها</x:v>
      </x:c>
      <x:c r="P57" s="147" t="str">
        <x:v>۳ یا ۶ ماه در UI فعلی</x:v>
      </x:c>
      <x:c r="Q57" s="147" t="str">
        <x:v>گزینه‌های ۳ و ۶ ماه مشاهده شد</x:v>
      </x:c>
      <x:c r="R57" s="147" t="str">
        <x:v>test-installment-before-continue.jpg</x:v>
      </x:c>
      <x:c r="S57" s="147" t="str">
        <x:v>قوانین از طرح ۱۲ ماهه هم نام می‌برد اما UI ندارد</x:v>
      </x:c>
      <x:c r="T57" s="147" t="str">
        <x:v>Installment</x:v>
      </x:c>
    </x:row>
    <x:row r="58">
      <x:c r="A58" s="146" t="str">
        <x:v>SH-INST-003</x:v>
      </x:c>
      <x:c r="B58" s="147" t="str">
        <x:v>اقساط</x:v>
      </x:c>
      <x:c r="C58" s="147" t="str">
        <x:v>پیش‌نمایش درخواست اقساطی</x:v>
      </x:c>
      <x:c r="D58" s="147" t="str">
        <x:v>نمایش مبلغ، سوت، کارمزد، اقساط، مجموع و هزینه خدمات</x:v>
      </x:c>
      <x:c r="E58" s="147" t="str">
        <x:v>شفافیت قبل از پذیرش تعهد</x:v>
      </x:c>
      <x:c r="F58" s="147" t="str">
        <x:v>مرحله دوم خرید اقساطی</x:v>
      </x:c>
      <x:c r="G58" s="147" t="str">
        <x:v>دکمه ادامه</x:v>
      </x:c>
      <x:c r="H58" s="147" t="str">
        <x:v>ورود</x:v>
      </x:c>
      <x:c r="I58" s="147" t="str">
        <x:v>لازم</x:v>
      </x:c>
      <x:c r="J58" s="147" t="str">
        <x:v>انتخاب طرح</x:v>
      </x:c>
      <x:c r="K58" s="148" t="str">
        <x:v>مشاهده‌شده</x:v>
      </x:c>
      <x:c r="L58" s="148" t="str">
        <x:v>فعال</x:v>
      </x:c>
      <x:c r="M58" s="147" t="str">
        <x:v>PWA</x:v>
      </x:c>
      <x:c r="N58" s="147" t="str">
        <x:v>قیمت تا ۳۰ ثانیه معتبر است و پذیرش قوانین لازم است</x:v>
      </x:c>
      <x:c r="O58" s="147" t="str">
        <x:v>در نمونه: کارمزد خرید و ۵ میلیون ریال خدمات</x:v>
      </x:c>
      <x:c r="P58" s="147" t="str">
        <x:v>طبق طرح</x:v>
      </x:c>
      <x:c r="Q58" s="147" t="str">
        <x:v>مرحله دوم زنده بدون تایید نهایی مشاهده شد</x:v>
      </x:c>
      <x:c r="R58" s="147" t="str">
        <x:v>test-installment-after-continue.jpg</x:v>
      </x:c>
      <x:c r="S58" s="147" t="str">
        <x:v>دکمه تایید تا پذیرش قوانین غیرفعال است</x:v>
      </x:c>
      <x:c r="T58" s="147" t="str">
        <x:v>Installment</x:v>
      </x:c>
    </x:row>
    <x:row r="59">
      <x:c r="A59" s="146" t="str">
        <x:v>SH-INST-004</x:v>
      </x:c>
      <x:c r="B59" s="147" t="str">
        <x:v>اقساط</x:v>
      </x:c>
      <x:c r="C59" s="147" t="str">
        <x:v>وثیقه طلای اقساطی</x:v>
      </x:c>
      <x:c r="D59" s="147" t="str">
        <x:v>نگهداری طلا نزد پلتفرم تا تسویه کامل</x:v>
      </x:c>
      <x:c r="E59" s="147" t="str">
        <x:v>تضمین بازپرداخت و آزادسازی پس از تسویه</x:v>
      </x:c>
      <x:c r="F59" s="147" t="str">
        <x:v>مرحله دوم و قوانین اقساط</x:v>
      </x:c>
      <x:c r="G59" s="147" t="str">
        <x:v>توضیح ضمانت</x:v>
      </x:c>
      <x:c r="H59" s="147" t="str">
        <x:v>ورود</x:v>
      </x:c>
      <x:c r="I59" s="147" t="str">
        <x:v>لازم</x:v>
      </x:c>
      <x:c r="J59" s="147" t="str">
        <x:v>خرید اقساطی فعال</x:v>
      </x:c>
      <x:c r="K59" s="148" t="str">
        <x:v>مشاهده‌شده</x:v>
      </x:c>
      <x:c r="L59" s="148" t="str">
        <x:v>فعال</x:v>
      </x:c>
      <x:c r="M59" s="147" t="str">
        <x:v>PWA</x:v>
      </x:c>
      <x:c r="N59" s="147" t="str">
        <x:v>تا تسویه امکان فروش، انتقال یا دریافت فیزیکی طلای وثیقه نیست</x:v>
      </x:c>
      <x:c r="O59" s="147" t="str">
        <x:v>طبق قرارداد</x:v>
      </x:c>
      <x:c r="P59" s="147" t="str">
        <x:v>تا تسویه کامل</x:v>
      </x:c>
      <x:c r="Q59" s="147" t="str">
        <x:v>توضیح ضمانت و قوانین مشاهده شد</x:v>
      </x:c>
      <x:c r="R59" s="147" t="str">
        <x:v>test-installment-after-continue.jpg</x:v>
      </x:c>
      <x:c r="S59" s="147" t="str">
        <x:v>ریسک نکول باید در UX برجسته‌تر شود</x:v>
      </x:c>
      <x:c r="T59" s="147" t="str">
        <x:v>Installment</x:v>
      </x:c>
    </x:row>
    <x:row r="60">
      <x:c r="A60" s="146" t="str">
        <x:v>SH-INST-005</x:v>
      </x:c>
      <x:c r="B60" s="147" t="str">
        <x:v>اقساط</x:v>
      </x:c>
      <x:c r="C60" s="147" t="str">
        <x:v>اقساط من</x:v>
      </x:c>
      <x:c r="D60" s="147" t="str">
        <x:v>تب‌های جاری، تسویه‌شده و لغوشده</x:v>
      </x:c>
      <x:c r="E60" s="147" t="str">
        <x:v>پیگیری وضعیت طرح‌ها</x:v>
      </x:c>
      <x:c r="F60" s="147" t="str">
        <x:v>/app/my-installment</x:v>
      </x:c>
      <x:c r="G60" s="147" t="str">
        <x:v>پروفایل &gt; اقساط من</x:v>
      </x:c>
      <x:c r="H60" s="147" t="str">
        <x:v>ورود</x:v>
      </x:c>
      <x:c r="I60" s="147" t="str">
        <x:v>لازم</x:v>
      </x:c>
      <x:c r="J60" s="147" t="str">
        <x:v>طرح اقساطی</x:v>
      </x:c>
      <x:c r="K60" s="148" t="str">
        <x:v>مشاهده‌شده</x:v>
      </x:c>
      <x:c r="L60" s="148" t="str">
        <x:v>فعال</x:v>
      </x:c>
      <x:c r="M60" s="147" t="str">
        <x:v>PWA</x:v>
      </x:c>
      <x:c r="N60" s="147" t="str">
        <x:v>سه وضعیت اصلی نمایش داده می‌شود</x:v>
      </x:c>
      <x:c r="O60" s="147" t="str">
        <x:v>طبق طرح</x:v>
      </x:c>
      <x:c r="P60" s="147" t="str">
        <x:v>ندارد</x:v>
      </x:c>
      <x:c r="Q60" s="147" t="str">
        <x:v>صفحه empty state مشاهده شد</x:v>
      </x:c>
      <x:c r="R60" s="147" t="str">
        <x:v>panel-my-installment.jpg</x:v>
      </x:c>
      <x:c r="S60" s="147" t="str">
        <x:v>جزئیات پرداخت قسط بدون طرح فعال دیده نشد</x:v>
      </x:c>
      <x:c r="T60" s="147" t="str">
        <x:v>Installment</x:v>
      </x:c>
    </x:row>
    <x:row r="61">
      <x:c r="A61" s="146" t="str">
        <x:v>SH-INST-006</x:v>
      </x:c>
      <x:c r="B61" s="147" t="str">
        <x:v>اقساط</x:v>
      </x:c>
      <x:c r="C61" s="147" t="str">
        <x:v>قوانین اختصاصی اقساط</x:v>
      </x:c>
      <x:c r="D61" s="147" t="str">
        <x:v>قواعد هزینه، وثیقه، تأخیر، فسخ، تسویه آنی و ریسک</x:v>
      </x:c>
      <x:c r="E61" s="147" t="str">
        <x:v>آگاهی حقوقی پیش از تعهد</x:v>
      </x:c>
      <x:c r="F61" s="147" t="str">
        <x:v>/app/rolls-installment</x:v>
      </x:c>
      <x:c r="G61" s="147" t="str">
        <x:v>مرحله دوم اقساط</x:v>
      </x:c>
      <x:c r="H61" s="147" t="str">
        <x:v>ورود</x:v>
      </x:c>
      <x:c r="I61" s="147" t="str">
        <x:v>لازم</x:v>
      </x:c>
      <x:c r="J61" s="147" t="str">
        <x:v>انتخاب طرح</x:v>
      </x:c>
      <x:c r="K61" s="148" t="str">
        <x:v>مشاهده‌شده</x:v>
      </x:c>
      <x:c r="L61" s="148" t="str">
        <x:v>فعال</x:v>
      </x:c>
      <x:c r="M61" s="147" t="str">
        <x:v>PWA</x:v>
      </x:c>
      <x:c r="N61" s="147" t="str">
        <x:v>خسارت از روز پنجم ۰.۵٪ روزانه؛ بیش از ۱۵ روز حق فسخ برای شمش</x:v>
      </x:c>
      <x:c r="O61" s="147" t="str">
        <x:v>چند جزء کارمزد و هزینه</x:v>
      </x:c>
      <x:c r="P61" s="147" t="str">
        <x:v>طرح‌های حقوقی ۳، ۶ یا ۱۲ ماه</x:v>
      </x:c>
      <x:c r="Q61" s="147" t="str">
        <x:v>متن کامل قوانین زنده مشاهده شد</x:v>
      </x:c>
      <x:c r="R61" s="147" t="str">
        <x:v>test-installment-after-continue.jpg</x:v>
      </x:c>
      <x:c r="S61" s="147" t="str">
        <x:v>UI فعلی فقط ۳ و ۶ ماه را ارائه می‌کند</x:v>
      </x:c>
      <x:c r="T61" s="147" t="str">
        <x:v>Legal</x:v>
      </x:c>
    </x:row>
    <x:row r="62">
      <x:c r="A62" s="146" t="str">
        <x:v>SH-REF-001</x:v>
      </x:c>
      <x:c r="B62" s="147" t="str">
        <x:v>دعوت دوستان</x:v>
      </x:c>
      <x:c r="C62" s="147" t="str">
        <x:v>صفحه دعوت دوستان</x:v>
      </x:c>
      <x:c r="D62" s="147" t="str">
        <x:v>نمایش پاداش، آمار دعوت و کد اختصاصی</x:v>
      </x:c>
      <x:c r="E62" s="147" t="str">
        <x:v>رشد ارجاعی و دریافت پاداش</x:v>
      </x:c>
      <x:c r="F62" s="147" t="str">
        <x:v>/app/invite-friends</x:v>
      </x:c>
      <x:c r="G62" s="147" t="str">
        <x:v>پروفایل &gt; دعوت از دوستان</x:v>
      </x:c>
      <x:c r="H62" s="147" t="str">
        <x:v>ورود</x:v>
      </x:c>
      <x:c r="I62" s="147" t="str">
        <x:v>لازم برای پاداش</x:v>
      </x:c>
      <x:c r="J62" s="147" t="str">
        <x:v>دعوت موفق</x:v>
      </x:c>
      <x:c r="K62" s="148" t="str">
        <x:v>مشاهده‌شده</x:v>
      </x:c>
      <x:c r="L62" s="148" t="str">
        <x:v>فعال</x:v>
      </x:c>
      <x:c r="M62" s="147" t="str">
        <x:v>PWA</x:v>
      </x:c>
      <x:c r="N62" s="147" t="str">
        <x:v>به دعوت‌کننده و دعوت‌شونده هرکدام ۲۵ هزار تومان تعلق می‌گیرد</x:v>
      </x:c>
      <x:c r="O62" s="147" t="str">
        <x:v>ندارد</x:v>
      </x:c>
      <x:c r="P62" s="147" t="str">
        <x:v>طبق شرایط دعوت موفق</x:v>
      </x:c>
      <x:c r="Q62" s="147" t="str">
        <x:v>صفحه زنده مشاهده شد</x:v>
      </x:c>
      <x:c r="R62" s="147" t="str">
        <x:v>panel-invite-friends.jpg</x:v>
      </x:c>
      <x:c r="S62" s="147" t="str">
        <x:v>تعریف دقیق دعوت موفق در صفحه اولیه باز نشده بود</x:v>
      </x:c>
      <x:c r="T62" s="147" t="str">
        <x:v>Referral</x:v>
      </x:c>
    </x:row>
    <x:row r="63">
      <x:c r="A63" s="146" t="str">
        <x:v>SH-REF-002</x:v>
      </x:c>
      <x:c r="B63" s="147" t="str">
        <x:v>دعوت دوستان</x:v>
      </x:c>
      <x:c r="C63" s="147" t="str">
        <x:v>کپی و ارسال دعوت‌نامه</x:v>
      </x:c>
      <x:c r="D63" s="147" t="str">
        <x:v>کپی کد و استفاده از اشتراک‌گذاری سیستم</x:v>
      </x:c>
      <x:c r="E63" s="147" t="str">
        <x:v>ارسال سریع دعوت</x:v>
      </x:c>
      <x:c r="F63" s="147" t="str">
        <x:v>/app/invite-friends</x:v>
      </x:c>
      <x:c r="G63" s="147" t="str">
        <x:v>دکمه کپی/ارسال</x:v>
      </x:c>
      <x:c r="H63" s="147" t="str">
        <x:v>ورود</x:v>
      </x:c>
      <x:c r="I63" s="147" t="str">
        <x:v>ندارد</x:v>
      </x:c>
      <x:c r="J63" s="147" t="str">
        <x:v>ندارد</x:v>
      </x:c>
      <x:c r="K63" s="148" t="str">
        <x:v>مشاهده‌شده</x:v>
      </x:c>
      <x:c r="L63" s="148" t="str">
        <x:v>فعال</x:v>
      </x:c>
      <x:c r="M63" s="147" t="str">
        <x:v>PWA</x:v>
      </x:c>
      <x:c r="N63" s="147" t="str">
        <x:v>کد دعوت اختصاصی به حساب متصل است</x:v>
      </x:c>
      <x:c r="O63" s="147" t="str">
        <x:v>ندارد</x:v>
      </x:c>
      <x:c r="P63" s="147" t="str">
        <x:v>ندارد</x:v>
      </x:c>
      <x:c r="Q63" s="147" t="str">
        <x:v>CTAهای کپی و ارسال مشاهده شد</x:v>
      </x:c>
      <x:c r="R63" s="147" t="str">
        <x:v>panel-invite-friends.jpg</x:v>
      </x:c>
      <x:c r="S63" s="147" t="str">
        <x:v>کد شخصی در inventory ذخیره نشده است</x:v>
      </x:c>
      <x:c r="T63" s="147" t="str">
        <x:v>Referral</x:v>
      </x:c>
    </x:row>
    <x:row r="64">
      <x:c r="A64" s="146" t="str">
        <x:v>SH-REF-003</x:v>
      </x:c>
      <x:c r="B64" s="147" t="str">
        <x:v>دعوت دوستان</x:v>
      </x:c>
      <x:c r="C64" s="147" t="str">
        <x:v>آمار دعوت و پاداش</x:v>
      </x:c>
      <x:c r="D64" s="147" t="str">
        <x:v>مجموع پاداش، دعوت موفق و دعوت در انتظار</x:v>
      </x:c>
      <x:c r="E64" s="147" t="str">
        <x:v>پیگیری نتیجه معرفی‌ها</x:v>
      </x:c>
      <x:c r="F64" s="147" t="str">
        <x:v>/app/invite-friends</x:v>
      </x:c>
      <x:c r="G64" s="147" t="str">
        <x:v>کارت آمار</x:v>
      </x:c>
      <x:c r="H64" s="147" t="str">
        <x:v>ورود</x:v>
      </x:c>
      <x:c r="I64" s="147" t="str">
        <x:v>لازم</x:v>
      </x:c>
      <x:c r="J64" s="147" t="str">
        <x:v>دعوت ثبت‌شده</x:v>
      </x:c>
      <x:c r="K64" s="148" t="str">
        <x:v>مشاهده‌شده</x:v>
      </x:c>
      <x:c r="L64" s="148" t="str">
        <x:v>فعال</x:v>
      </x:c>
      <x:c r="M64" s="147" t="str">
        <x:v>PWA</x:v>
      </x:c>
      <x:c r="N64" s="147" t="str">
        <x:v>جزئیات دعوت‌ها از لینک جدا قابل مشاهده است</x:v>
      </x:c>
      <x:c r="O64" s="147" t="str">
        <x:v>ندارد</x:v>
      </x:c>
      <x:c r="P64" s="147" t="str">
        <x:v>ندارد</x:v>
      </x:c>
      <x:c r="Q64" s="147" t="str">
        <x:v>سه شاخص و لینک جزئیات مشاهده شد</x:v>
      </x:c>
      <x:c r="R64" s="147" t="str">
        <x:v>panel-invite-friends.jpg</x:v>
      </x:c>
      <x:c r="S64" s="147" t="str">
        <x:v>صفحه جزئیات بدون دعوت بررسی نشد</x:v>
      </x:c>
      <x:c r="T64" s="147" t="str">
        <x:v>Referral</x:v>
      </x:c>
    </x:row>
    <x:row r="65">
      <x:c r="A65" s="146" t="str">
        <x:v>SH-PROFILE-001</x:v>
      </x:c>
      <x:c r="B65" s="147" t="str">
        <x:v>پروفایل</x:v>
      </x:c>
      <x:c r="C65" s="147" t="str">
        <x:v>هاب پروفایل</x:v>
      </x:c>
      <x:c r="D65" s="147" t="str">
        <x:v>دسترسی به حساب، اقساط، فیزیکی، دعوت، مجوز، قوانین، درباره و تماس</x:v>
      </x:c>
      <x:c r="E65" s="147" t="str">
        <x:v>مدیریت حساب و اطلاعات اعتماد</x:v>
      </x:c>
      <x:c r="F65" s="147" t="str">
        <x:v>/app/profile</x:v>
      </x:c>
      <x:c r="G65" s="147" t="str">
        <x:v>تب پروفایل</x:v>
      </x:c>
      <x:c r="H65" s="147" t="str">
        <x:v>ورود</x:v>
      </x:c>
      <x:c r="I65" s="147" t="str">
        <x:v>ندارد</x:v>
      </x:c>
      <x:c r="J65" s="147" t="str">
        <x:v>ندارد</x:v>
      </x:c>
      <x:c r="K65" s="148" t="str">
        <x:v>مشاهده‌شده</x:v>
      </x:c>
      <x:c r="L65" s="148" t="str">
        <x:v>فعال</x:v>
      </x:c>
      <x:c r="M65" s="147" t="str">
        <x:v>PWA</x:v>
      </x:c>
      <x:c r="N65" s="147" t="str">
        <x:v>۹ مقصد و خروج از حساب نمایش داده می‌شود</x:v>
      </x:c>
      <x:c r="O65" s="147" t="str">
        <x:v>ندارد</x:v>
      </x:c>
      <x:c r="P65" s="147" t="str">
        <x:v>ندارد</x:v>
      </x:c>
      <x:c r="Q65" s="147" t="str">
        <x:v>صفحه پروفایل زنده مشاهده شد</x:v>
      </x:c>
      <x:c r="R65" s="147" t="str">
        <x:v>panel-profile.jpg</x:v>
      </x:c>
      <x:c r="S65" s="147" t="str">
        <x:v>اطلاعات شخصی کاربر در فایل ثبت نشده است</x:v>
      </x:c>
      <x:c r="T65" s="147" t="str">
        <x:v>Profile</x:v>
      </x:c>
    </x:row>
    <x:row r="66">
      <x:c r="A66" s="146" t="str">
        <x:v>SH-PROFILE-002</x:v>
      </x:c>
      <x:c r="B66" s="147" t="str">
        <x:v>پروفایل</x:v>
      </x:c>
      <x:c r="C66" s="147" t="str">
        <x:v>اطلاعات شخصی</x:v>
      </x:c>
      <x:c r="D66" s="147" t="str">
        <x:v>نمایش مشخصات هویتی و وضعیت تایید ثبت‌نام</x:v>
      </x:c>
      <x:c r="E66" s="147" t="str">
        <x:v>بررسی صحت حساب</x:v>
      </x:c>
      <x:c r="F66" s="147" t="str">
        <x:v>/app/personal-info</x:v>
      </x:c>
      <x:c r="G66" s="147" t="str">
        <x:v>پروفایل &gt; حساب کاربری</x:v>
      </x:c>
      <x:c r="H66" s="147" t="str">
        <x:v>ورود</x:v>
      </x:c>
      <x:c r="I66" s="147" t="str">
        <x:v>لازم</x:v>
      </x:c>
      <x:c r="J66" s="147" t="str">
        <x:v>ندارد</x:v>
      </x:c>
      <x:c r="K66" s="148" t="str">
        <x:v>مشاهده‌شده</x:v>
      </x:c>
      <x:c r="L66" s="148" t="str">
        <x:v>فعال</x:v>
      </x:c>
      <x:c r="M66" s="147" t="str">
        <x:v>PWA</x:v>
      </x:c>
      <x:c r="N66" s="147" t="str">
        <x:v>کد ملی و تاریخ تولد در صفحه وجود دارد</x:v>
      </x:c>
      <x:c r="O66" s="147" t="str">
        <x:v>ندارد</x:v>
      </x:c>
      <x:c r="P66" s="147" t="str">
        <x:v>ندارد</x:v>
      </x:c>
      <x:c r="Q66" s="147" t="str">
        <x:v>ساختار صفحه و وضعیت تایید مشاهده شد</x:v>
      </x:c>
      <x:c r="R66" s="147" t="str">
        <x:v>panel-personal-info.jpg</x:v>
      </x:c>
      <x:c r="S66" s="147" t="str">
        <x:v>مقادیر شخصی عمداً استخراج نشده‌اند</x:v>
      </x:c>
      <x:c r="T66" s="147" t="str">
        <x:v>Profile</x:v>
      </x:c>
    </x:row>
    <x:row r="67">
      <x:c r="A67" s="146" t="str">
        <x:v>SH-PROFILE-003</x:v>
      </x:c>
      <x:c r="B67" s="147" t="str">
        <x:v>پروفایل</x:v>
      </x:c>
      <x:c r="C67" s="147" t="str">
        <x:v>خروج از حساب</x:v>
      </x:c>
      <x:c r="D67" s="147" t="str">
        <x:v>کنترل پایان نشست کاربری</x:v>
      </x:c>
      <x:c r="E67" s="147" t="str">
        <x:v>حفظ امنیت حساب روی دستگاه مشترک</x:v>
      </x:c>
      <x:c r="F67" s="147" t="str">
        <x:v>/app/profile</x:v>
      </x:c>
      <x:c r="G67" s="147" t="str">
        <x:v>پایین پروفایل</x:v>
      </x:c>
      <x:c r="H67" s="147" t="str">
        <x:v>ورود</x:v>
      </x:c>
      <x:c r="I67" s="147" t="str">
        <x:v>ندارد</x:v>
      </x:c>
      <x:c r="J67" s="147" t="str">
        <x:v>ندارد</x:v>
      </x:c>
      <x:c r="K67" s="148" t="str">
        <x:v>مشاهده‌شده</x:v>
      </x:c>
      <x:c r="L67" s="148" t="str">
        <x:v>فعال</x:v>
      </x:c>
      <x:c r="M67" s="147" t="str">
        <x:v>PWA</x:v>
      </x:c>
      <x:c r="N67" s="147" t="str">
        <x:v>خروج نیازمند اقدام صریح کاربر است</x:v>
      </x:c>
      <x:c r="O67" s="147" t="str">
        <x:v>ندارد</x:v>
      </x:c>
      <x:c r="P67" s="147" t="str">
        <x:v>ندارد</x:v>
      </x:c>
      <x:c r="Q67" s="147" t="str">
        <x:v>گزینه خروج مشاهده شد</x:v>
      </x:c>
      <x:c r="R67" s="147" t="str">
        <x:v>panel-profile.jpg</x:v>
      </x:c>
      <x:c r="S67" s="147" t="str">
        <x:v>برای حفظ نشست بررسی اجرا نشد</x:v>
      </x:c>
      <x:c r="T67" s="147" t="str">
        <x:v>Security</x:v>
      </x:c>
    </x:row>
    <x:row r="68">
      <x:c r="A68" s="146" t="str">
        <x:v>SH-SUPPORT-001</x:v>
      </x:c>
      <x:c r="B68" s="147" t="str">
        <x:v>پشتیبانی</x:v>
      </x:c>
      <x:c r="C68" s="147" t="str">
        <x:v>سوالات متداول پنل</x:v>
      </x:c>
      <x:c r="D68" s="147" t="str">
        <x:v>پاسخ به سوالات محصول، قیمت، خرید، فروش و برداشت</x:v>
      </x:c>
      <x:c r="E68" s="147" t="str">
        <x:v>حل مسئله بدون تماس</x:v>
      </x:c>
      <x:c r="F68" s="147" t="str">
        <x:v>/app/frequently-questions</x:v>
      </x:c>
      <x:c r="G68" s="147" t="str">
        <x:v>آیکن/لینک پروفایل</x:v>
      </x:c>
      <x:c r="H68" s="147" t="str">
        <x:v>ورود</x:v>
      </x:c>
      <x:c r="I68" s="147" t="str">
        <x:v>ندارد</x:v>
      </x:c>
      <x:c r="J68" s="147" t="str">
        <x:v>ندارد</x:v>
      </x:c>
      <x:c r="K68" s="148" t="str">
        <x:v>مشاهده‌شده</x:v>
      </x:c>
      <x:c r="L68" s="148" t="str">
        <x:v>فعال</x:v>
      </x:c>
      <x:c r="M68" s="147" t="str">
        <x:v>PWA</x:v>
      </x:c>
      <x:c r="N68" s="147" t="str">
        <x:v>۶ پرسش و پاسخ در صفحه فعلی مشاهده شد</x:v>
      </x:c>
      <x:c r="O68" s="147" t="str">
        <x:v>ندارد</x:v>
      </x:c>
      <x:c r="P68" s="147" t="str">
        <x:v>شامل چند سقف عملیاتی</x:v>
      </x:c>
      <x:c r="Q68" s="147" t="str">
        <x:v>متن FAQ زنده مشاهده شد</x:v>
      </x:c>
      <x:c r="R68" s="147" t="str">
        <x:v>panel-faq.jpg</x:v>
      </x:c>
      <x:c r="S68" s="147" t="str">
        <x:v>برخی سقف‌ها با مودال فعلی تعارض دارند</x:v>
      </x:c>
      <x:c r="T68" s="147" t="str">
        <x:v>FAQ</x:v>
      </x:c>
    </x:row>
    <x:row r="69">
      <x:c r="A69" s="146" t="str">
        <x:v>SH-SUPPORT-002</x:v>
      </x:c>
      <x:c r="B69" s="147" t="str">
        <x:v>پشتیبانی</x:v>
      </x:c>
      <x:c r="C69" s="147" t="str">
        <x:v>صفحه پشتیبانی</x:v>
      </x:c>
      <x:c r="D69" s="147" t="str">
        <x:v>مسیر اختصاصی پشتیبانی داخل پنل</x:v>
      </x:c>
      <x:c r="E69" s="147" t="str">
        <x:v>دریافت کمک برای مشکل مالی</x:v>
      </x:c>
      <x:c r="F69" s="147" t="str">
        <x:v>/app/support</x:v>
      </x:c>
      <x:c r="G69" s="147" t="str">
        <x:v>آیکن پشتیبانی در خدمات/اقساط</x:v>
      </x:c>
      <x:c r="H69" s="147" t="str">
        <x:v>ورود</x:v>
      </x:c>
      <x:c r="I69" s="147" t="str">
        <x:v>ندارد</x:v>
      </x:c>
      <x:c r="J69" s="147" t="str">
        <x:v>ندارد</x:v>
      </x:c>
      <x:c r="K69" s="148" t="str">
        <x:v>مشاهده‌شده</x:v>
      </x:c>
      <x:c r="L69" s="148" t="str">
        <x:v>ناپایدار</x:v>
      </x:c>
      <x:c r="M69" s="147" t="str">
        <x:v>PWA</x:v>
      </x:c>
      <x:c r="N69" s="147" t="str">
        <x:v>صفحه در بررسی محتوای پایدار قابل استخراج نداشت</x:v>
      </x:c>
      <x:c r="O69" s="147" t="str">
        <x:v>نامشخص</x:v>
      </x:c>
      <x:c r="P69" s="147" t="str">
        <x:v>نامشخص</x:v>
      </x:c>
      <x:c r="Q69" s="147" t="str">
        <x:v>مسیر باز شد اما ارزیابی محتوا timeout شد</x:v>
      </x:c>
      <x:c r="R69" s="147" t="str">
        <x:v>panel-support.jpg</x:v>
      </x:c>
      <x:c r="S69" s="147" t="str">
        <x:v>فرم تیکت، SLA و سناریوی اضطراری مشاهده نشد</x:v>
      </x:c>
      <x:c r="T69" s="147" t="str">
        <x:v>Support</x:v>
      </x:c>
    </x:row>
    <x:row r="70">
      <x:c r="A70" s="146" t="str">
        <x:v>SH-LEGAL-001</x:v>
      </x:c>
      <x:c r="B70" s="147" t="str">
        <x:v>حقوقی</x:v>
      </x:c>
      <x:c r="C70" s="147" t="str">
        <x:v>حساب حقیقی و حقوقی</x:v>
      </x:c>
      <x:c r="D70" s="147" t="str">
        <x:v>قوانین از پشتیبانی اشخاص حقیقی و حقوقی و مدارک ثبتی نام می‌برد</x:v>
      </x:c>
      <x:c r="E70" s="147" t="str">
        <x:v>امکان استفاده سازمانی</x:v>
      </x:c>
      <x:c r="F70" s="147" t="str">
        <x:v>قوانین عمومی</x:v>
      </x:c>
      <x:c r="G70" s="147" t="str">
        <x:v>ثبت‌نام/هماهنگی</x:v>
      </x:c>
      <x:c r="H70" s="147" t="str">
        <x:v>ورود و مدارک</x:v>
      </x:c>
      <x:c r="I70" s="147" t="str">
        <x:v>لازم</x:v>
      </x:c>
      <x:c r="J70" s="147" t="str">
        <x:v>ندارد</x:v>
      </x:c>
      <x:c r="K70" s="148" t="str">
        <x:v>مشاهده‌شده در قوانین</x:v>
      </x:c>
      <x:c r="L70" s="148" t="str">
        <x:v>نامشخص در UI</x:v>
      </x:c>
      <x:c r="M70" s="147" t="str">
        <x:v>Public/PWA</x:v>
      </x:c>
      <x:c r="N70" s="147" t="str">
        <x:v>حساب حقوقی نیازمند معرفی‌نامه و مدارک ثبتی است</x:v>
      </x:c>
      <x:c r="O70" s="147" t="str">
        <x:v>ندارد</x:v>
      </x:c>
      <x:c r="P70" s="147" t="str">
        <x:v>نامشخص</x:v>
      </x:c>
      <x:c r="Q70" s="147" t="str">
        <x:v>متن قوانین پروژه و صفحه عمومی</x:v>
      </x:c>
      <x:c r="R70" s="147" t="str">
        <x:v>rules-page-full.png</x:v>
      </x:c>
      <x:c r="S70" s="147" t="str">
        <x:v>مسیر ثبت حساب حقوقی در UI مشاهده نشد</x:v>
      </x:c>
      <x:c r="T70" s="147" t="str">
        <x:v>Legal</x:v>
      </x:c>
    </x:row>
    <x:row r="71">
      <x:c r="A71" s="146" t="str">
        <x:v>SH-SEC-001</x:v>
      </x:c>
      <x:c r="B71" s="147" t="str">
        <x:v>امنیت</x:v>
      </x:c>
      <x:c r="C71" s="147" t="str">
        <x:v>تعلیق و توقف تراکنش</x:v>
      </x:c>
      <x:c r="D71" s="147" t="str">
        <x:v>چارچوب قانونی تعلیق حساب و توقف عملیات مشکوک</x:v>
      </x:c>
      <x:c r="E71" s="147" t="str">
        <x:v>حفاظت از دارایی و انطباق</x:v>
      </x:c>
      <x:c r="F71" s="147" t="str">
        <x:v>قوانین عمومی</x:v>
      </x:c>
      <x:c r="G71" s="147" t="str">
        <x:v>شرایط حساب</x:v>
      </x:c>
      <x:c r="H71" s="147" t="str">
        <x:v>ورود</x:v>
      </x:c>
      <x:c r="I71" s="147" t="str">
        <x:v>لازم</x:v>
      </x:c>
      <x:c r="J71" s="147" t="str">
        <x:v>سناریوی ریسک</x:v>
      </x:c>
      <x:c r="K71" s="148" t="str">
        <x:v>مشاهده‌شده در قوانین</x:v>
      </x:c>
      <x:c r="L71" s="148" t="str">
        <x:v>فعال قانونی</x:v>
      </x:c>
      <x:c r="M71" s="147" t="str">
        <x:v>Public/PWA</x:v>
      </x:c>
      <x:c r="N71" s="147" t="str">
        <x:v>شمش می‌تواند مطابق قوانین و دستورات صلاحیت‌دار حساب یا تراکنش را متوقف کند</x:v>
      </x:c>
      <x:c r="O71" s="147" t="str">
        <x:v>ممکن است هزینه/خسارت داشته باشد</x:v>
      </x:c>
      <x:c r="P71" s="147" t="str">
        <x:v>طبق مقررات</x:v>
      </x:c>
      <x:c r="Q71" s="147" t="str">
        <x:v>بخش تعلیق در قوانین عمومی مشاهده شد</x:v>
      </x:c>
      <x:c r="R71" s="147" t="str">
        <x:v>rules-page-expanded.png</x:v>
      </x:c>
      <x:c r="S71" s="147" t="str">
        <x:v>تجربه کاربر و مسیر اعتراض در UI بررسی نشد</x:v>
      </x:c>
      <x:c r="T71" s="147" t="str">
        <x:v>Security</x:v>
      </x:c>
    </x:row>
  </x:sheetData>
  <x:mergeCells>
    <x:mergeCell ref="A1:T1"/>
    <x:mergeCell ref="A2:T2"/>
  </x:mergeCells>
  <x:conditionalFormatting sqref="L5:L71">
    <x:cfRule type="containsText" dxfId="0" priority="1" operator="containsText" text="غیرفعال"/>
    <x:cfRule type="containsText" dxfId="1" priority="2" operator="containsText" text="به‌زودی"/>
    <x:cfRule type="containsText" dxfId="2" priority="3" operator="containsText" text="فعال"/>
    <x:cfRule type="containsText" dxfId="3" priority="4" operator="containsText" text="ناپایدار"/>
  </x:conditionalFormatting>
  <x:dataValidations count="2">
    <x:dataValidation type="list" sqref="K5:K71">
      <x:formula1>"مشاهده‌شده,مشاهده‌شده در قوانین,قابل‌دسترسی‌نبود,تأییدنشده,تعارض"</x:formula1>
    </x:dataValidation>
    <x:dataValidation type="list" sqref="L5:L71">
      <x:formula1>"فعال,فعال مشروط,فعال محدود,فعال موقت,فعال قانونی,غیرفعال,به‌زودی,محدود,ناپایدار,نامشخص در UI"</x:formula1>
    </x:dataValidation>
  </x:dataValidations>
  <x:pageMargins left="0.7" right="0.7" top="0.75" bottom="0.75" header="0.3" footer="0.3"/>
  <x:tableParts count="1">
    <x:tablePart xmlns:r="http://schemas.openxmlformats.org/officeDocument/2006/relationships" r:id="Reea81a1ffe3d45c3"/>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3" hidden="0" customWidth="1"/>
    <x:col min="2" max="2" width="18" hidden="0" customWidth="1"/>
    <x:col min="3" max="3" width="52" hidden="0" customWidth="1"/>
    <x:col min="4" max="4" width="18" hidden="0" customWidth="1"/>
    <x:col min="5" max="5" width="32" hidden="0" customWidth="1"/>
    <x:col min="6" max="6" width="32" hidden="0" customWidth="1"/>
    <x:col min="7" max="7" width="32" hidden="0" customWidth="1"/>
  </x:cols>
  <x:sheetData>
    <x:row r="1" ht="32" customHeight="1">
      <x:c r="A1" s="144" t="str">
        <x:v>قوانین کسب‌وکار مشاهده‌شده</x:v>
      </x:c>
      <x:c r="B1" s="144"/>
      <x:c r="C1" s="144"/>
      <x:c r="D1" s="144"/>
      <x:c r="E1" s="144"/>
      <x:c r="F1" s="144"/>
      <x:c r="G1" s="144"/>
    </x:row>
    <x:row r="2">
      <x:c r="A2" s="149" t="str">
        <x:v>اعداد زمان‌حساس باید پیش از انتشار نهایی با منبع رسمی واحد تطبیق داده شوند.</x:v>
      </x:c>
      <x:c r="B2" s="149"/>
      <x:c r="C2" s="149"/>
      <x:c r="D2" s="149"/>
      <x:c r="E2" s="149"/>
      <x:c r="F2" s="149"/>
      <x:c r="G2" s="149"/>
    </x:row>
    <x:row r="3">
      <x:c r="A3" s="116"/>
      <x:c r="B3" s="116"/>
      <x:c r="C3" s="116"/>
      <x:c r="D3" s="116"/>
      <x:c r="E3" s="116"/>
      <x:c r="F3" s="116"/>
      <x:c r="G3" s="116"/>
    </x:row>
    <x:row r="4">
      <x:c r="A4" s="150" t="str">
        <x:v>Rule ID</x:v>
      </x:c>
      <x:c r="B4" s="150" t="str">
        <x:v>Category</x:v>
      </x:c>
      <x:c r="C4" s="150" t="str">
        <x:v>Rule</x:v>
      </x:c>
      <x:c r="D4" s="150" t="str">
        <x:v>Status</x:v>
      </x:c>
      <x:c r="E4" s="150" t="str">
        <x:v>Source Surface</x:v>
      </x:c>
      <x:c r="F4" s="150" t="str">
        <x:v>Source URL</x:v>
      </x:c>
      <x:c r="G4" s="150" t="str">
        <x:v>Conflict / Note</x:v>
      </x:c>
    </x:row>
    <x:row r="5">
      <x:c r="A5" s="151" t="str">
        <x:v>BR-001</x:v>
      </x:c>
      <x:c r="B5" s="151" t="str">
        <x:v>واحد طلا</x:v>
      </x:c>
      <x:c r="C5" s="151" t="str">
        <x:v>هر ۱۰۰۰ سوت معادل ۱ گرم طلای ۱۸ عیار است</x:v>
      </x:c>
      <x:c r="D5" s="151" t="str">
        <x:v>مشاهده‌شده</x:v>
      </x:c>
      <x:c r="E5" s="151" t="str">
        <x:v>مودال محدودیت‌ها و دریافت فیزیکی</x:v>
      </x:c>
      <x:c r="F5" s="151" t="str">
        <x:v>https://shemsh.gold/app/get-gold</x:v>
      </x:c>
      <x:c r="G5" s="151" t="str">
        <x:v>ندارد</x:v>
      </x:c>
    </x:row>
    <x:row r="6">
      <x:c r="A6" s="151" t="str">
        <x:v>BR-002</x:v>
      </x:c>
      <x:c r="B6" s="151" t="str">
        <x:v>خرید</x:v>
      </x:c>
      <x:c r="C6" s="151" t="str">
        <x:v>سقف روزانه خرید در مودال فعلی ۱۵۰,۰۰۰ سوت است</x:v>
      </x:c>
      <x:c r="D6" s="151" t="str">
        <x:v>مشاهده‌شده</x:v>
      </x:c>
      <x:c r="E6" s="151" t="str">
        <x:v>مودال روزانه ۱۴۰۵/۰۴/۲۴</x:v>
      </x:c>
      <x:c r="F6" s="151" t="str">
        <x:v>https://shemsh.gold/app/trades?activeTab=1</x:v>
      </x:c>
      <x:c r="G6" s="151" t="str">
        <x:v>FAQ عدد ۶۰,۰۰۰ سوت را اعلام می‌کند</x:v>
      </x:c>
    </x:row>
    <x:row r="7">
      <x:c r="A7" s="151" t="str">
        <x:v>BR-003</x:v>
      </x:c>
      <x:c r="B7" s="151" t="str">
        <x:v>خرید</x:v>
      </x:c>
      <x:c r="C7" s="151" t="str">
        <x:v>سقف ماهانه خرید ۱,۵۰۰,۰۰۰ سوت است</x:v>
      </x:c>
      <x:c r="D7" s="151" t="str">
        <x:v>مشاهده‌شده</x:v>
      </x:c>
      <x:c r="E7" s="151" t="str">
        <x:v>مودال ماهانه</x:v>
      </x:c>
      <x:c r="F7" s="151" t="str">
        <x:v>https://shemsh.gold/app/trades?activeTab=1</x:v>
      </x:c>
      <x:c r="G7" s="151" t="str">
        <x:v>با FAQ هم‌خوان است</x:v>
      </x:c>
    </x:row>
    <x:row r="8">
      <x:c r="A8" s="151" t="str">
        <x:v>BR-004</x:v>
      </x:c>
      <x:c r="B8" s="151" t="str">
        <x:v>فروش</x:v>
      </x:c>
      <x:c r="C8" s="151" t="str">
        <x:v>سقف روزانه فروش در مودال فعلی ۱۵۰,۰۰۰ سوت است</x:v>
      </x:c>
      <x:c r="D8" s="151" t="str">
        <x:v>مشاهده‌شده</x:v>
      </x:c>
      <x:c r="E8" s="151" t="str">
        <x:v>مودال روزانه</x:v>
      </x:c>
      <x:c r="F8" s="151" t="str">
        <x:v>https://shemsh.gold/app/trades?activeTab=2</x:v>
      </x:c>
      <x:c r="G8" s="151" t="str">
        <x:v>FAQ عدد ۱۰۰,۰۰۰ سوت را اعلام می‌کند</x:v>
      </x:c>
    </x:row>
    <x:row r="9">
      <x:c r="A9" s="151" t="str">
        <x:v>BR-005</x:v>
      </x:c>
      <x:c r="B9" s="151" t="str">
        <x:v>فروش</x:v>
      </x:c>
      <x:c r="C9" s="151" t="str">
        <x:v>سقف ماهانه فروش ۳,۰۰۰,۰۰۰ سوت است</x:v>
      </x:c>
      <x:c r="D9" s="151" t="str">
        <x:v>مشاهده‌شده</x:v>
      </x:c>
      <x:c r="E9" s="151" t="str">
        <x:v>مودال ماهانه</x:v>
      </x:c>
      <x:c r="F9" s="151" t="str">
        <x:v>https://shemsh.gold/app/trades?activeTab=2</x:v>
      </x:c>
      <x:c r="G9" s="151" t="str">
        <x:v>با FAQ هم‌خوان است</x:v>
      </x:c>
    </x:row>
    <x:row r="10">
      <x:c r="A10" s="151" t="str">
        <x:v>BR-006</x:v>
      </x:c>
      <x:c r="B10" s="151" t="str">
        <x:v>واریز</x:v>
      </x:c>
      <x:c r="C10" s="151" t="str">
        <x:v>حداقل واریز ۱۰,۰۰۰ ریال و کارت باید متعلق به خود کاربر باشد</x:v>
      </x:c>
      <x:c r="D10" s="151" t="str">
        <x:v>مشاهده‌شده</x:v>
      </x:c>
      <x:c r="E10" s="151" t="str">
        <x:v>فرم واریز</x:v>
      </x:c>
      <x:c r="F10" s="151" t="str">
        <x:v>https://shemsh.gold/app/deposit-to-wallet</x:v>
      </x:c>
      <x:c r="G10" s="151" t="str">
        <x:v>ندارد</x:v>
      </x:c>
    </x:row>
    <x:row r="11">
      <x:c r="A11" s="151" t="str">
        <x:v>BR-007</x:v>
      </x:c>
      <x:c r="B11" s="151" t="str">
        <x:v>واریز</x:v>
      </x:c>
      <x:c r="C11" s="151" t="str">
        <x:v>سقف واریز روزانه ۲,۰۰۰,۰۰۰,۰۰۰ و ماهانه ۶۰,۰۰۰,۰۰۰,۰۰۰ ریال است</x:v>
      </x:c>
      <x:c r="D11" s="151" t="str">
        <x:v>مشاهده‌شده</x:v>
      </x:c>
      <x:c r="E11" s="151" t="str">
        <x:v>مودال محدودیت‌ها</x:v>
      </x:c>
      <x:c r="F11" s="151" t="str">
        <x:v>https://shemsh.gold/app/deposit-to-wallet</x:v>
      </x:c>
      <x:c r="G11" s="151" t="str">
        <x:v>ندارد</x:v>
      </x:c>
    </x:row>
    <x:row r="12">
      <x:c r="A12" s="151" t="str">
        <x:v>BR-008</x:v>
      </x:c>
      <x:c r="B12" s="151" t="str">
        <x:v>برداشت</x:v>
      </x:c>
      <x:c r="C12" s="151" t="str">
        <x:v>حداقل برداشت ۲,۰۰۰,۰۰۰ ریال و شبا باید ۲۴ رقمی و متعلق به کاربر باشد</x:v>
      </x:c>
      <x:c r="D12" s="151" t="str">
        <x:v>مشاهده‌شده</x:v>
      </x:c>
      <x:c r="E12" s="151" t="str">
        <x:v>فرم برداشت</x:v>
      </x:c>
      <x:c r="F12" s="151" t="str">
        <x:v>https://shemsh.gold/app/withdraw-from-wallet</x:v>
      </x:c>
      <x:c r="G12" s="151" t="str">
        <x:v>ندارد</x:v>
      </x:c>
    </x:row>
    <x:row r="13">
      <x:c r="A13" s="151" t="str">
        <x:v>BR-009</x:v>
      </x:c>
      <x:c r="B13" s="151" t="str">
        <x:v>برداشت</x:v>
      </x:c>
      <x:c r="C13" s="151" t="str">
        <x:v>سقف برداشت روزانه مودال ۳,۰۰۰,۰۰۰,۰۰۰ و ماهانه ۶۰,۰۰۰,۰۰۰,۰۰۰ ریال است</x:v>
      </x:c>
      <x:c r="D13" s="151" t="str">
        <x:v>مشاهده‌شده</x:v>
      </x:c>
      <x:c r="E13" s="151" t="str">
        <x:v>مودال محدودیت‌ها</x:v>
      </x:c>
      <x:c r="F13" s="151" t="str">
        <x:v>https://shemsh.gold/app/withdraw-from-wallet</x:v>
      </x:c>
      <x:c r="G13" s="151" t="str">
        <x:v>FAQ سقف روزانه را ۱,۰۰۰,۰۰۰,۰۰۰ ریال می‌داند</x:v>
      </x:c>
    </x:row>
    <x:row r="14">
      <x:c r="A14" s="151" t="str">
        <x:v>BR-010</x:v>
      </x:c>
      <x:c r="B14" s="151" t="str">
        <x:v>برداشت</x:v>
      </x:c>
      <x:c r="C14" s="151" t="str">
        <x:v>زمان واریز برداشت تا ۷۲ ساعت اعلام شده است</x:v>
      </x:c>
      <x:c r="D14" s="151" t="str">
        <x:v>مشاهده‌شده</x:v>
      </x:c>
      <x:c r="E14" s="151" t="str">
        <x:v>FAQ پنل</x:v>
      </x:c>
      <x:c r="F14" s="151" t="str">
        <x:v>https://shemsh.gold/app/frequently-questions</x:v>
      </x:c>
      <x:c r="G14" s="151" t="str">
        <x:v>SLA واقعی تست نشد</x:v>
      </x:c>
    </x:row>
    <x:row r="15">
      <x:c r="A15" s="151" t="str">
        <x:v>BR-011</x:v>
      </x:c>
      <x:c r="B15" s="151" t="str">
        <x:v>انتقال</x:v>
      </x:c>
      <x:c r="C15" s="151" t="str">
        <x:v>سقف انتقال روزانه ۱۵۰,۰۰۰ و ماهانه ۲,۰۰۰,۰۰۰ سوت است</x:v>
      </x:c>
      <x:c r="D15" s="151" t="str">
        <x:v>مشاهده‌شده</x:v>
      </x:c>
      <x:c r="E15" s="151" t="str">
        <x:v>مودال محدودیت‌ها</x:v>
      </x:c>
      <x:c r="F15" s="151" t="str">
        <x:v>https://shemsh.gold/app/trades?activeTab=1</x:v>
      </x:c>
      <x:c r="G15" s="151" t="str">
        <x:v>خود قابلیت فعلاً غیرفعال است</x:v>
      </x:c>
    </x:row>
    <x:row r="16">
      <x:c r="A16" s="151" t="str">
        <x:v>BR-012</x:v>
      </x:c>
      <x:c r="B16" s="151" t="str">
        <x:v>انتقال</x:v>
      </x:c>
      <x:c r="C16" s="151" t="str">
        <x:v>لندینگ انتقال را بدون کارمزد معرفی می‌کند اما قوانین آن را مستلزم کارمزد می‌داند</x:v>
      </x:c>
      <x:c r="D16" s="151" t="str">
        <x:v>تعارض</x:v>
      </x:c>
      <x:c r="E16" s="151" t="str">
        <x:v>لندینگ و قوانین</x:v>
      </x:c>
      <x:c r="F16" s="151" t="str">
        <x:v>https://shemsh.ir/rules</x:v>
      </x:c>
      <x:c r="G16" s="151" t="str">
        <x:v>نیازمند تصمیم رسمی</x:v>
      </x:c>
    </x:row>
    <x:row r="17">
      <x:c r="A17" s="151" t="str">
        <x:v>BR-013</x:v>
      </x:c>
      <x:c r="B17" s="151" t="str">
        <x:v>تحویل فیزیکی</x:v>
      </x:c>
      <x:c r="C17" s="151" t="str">
        <x:v>برای شروع دریافت فیزیکی حداقل ۲۰۴ سوت با احتساب کارمزد لازم است</x:v>
      </x:c>
      <x:c r="D17" s="151" t="str">
        <x:v>مشاهده‌شده</x:v>
      </x:c>
      <x:c r="E17" s="151" t="str">
        <x:v>صفحه دریافت فیزیکی</x:v>
      </x:c>
      <x:c r="F17" s="151" t="str">
        <x:v>https://shemsh.gold/app/get-gold</x:v>
      </x:c>
      <x:c r="G17" s="151" t="str">
        <x:v>فرمول و نرخ کارمزد روشن نیست</x:v>
      </x:c>
    </x:row>
    <x:row r="18">
      <x:c r="A18" s="151" t="str">
        <x:v>BR-014</x:v>
      </x:c>
      <x:c r="B18" s="151" t="str">
        <x:v>اقساط</x:v>
      </x:c>
      <x:c r="C18" s="151" t="str">
        <x:v>مبلغ قابل انتخاب در UI فعلی ۱۰۰ تا ۷۰۰ میلیون ریال است</x:v>
      </x:c>
      <x:c r="D18" s="151" t="str">
        <x:v>مشاهده‌شده</x:v>
      </x:c>
      <x:c r="E18" s="151" t="str">
        <x:v>محاسبه‌گر اقساط</x:v>
      </x:c>
      <x:c r="F18" s="151" t="str">
        <x:v>https://shemsh.gold/app/installment-purchase</x:v>
      </x:c>
      <x:c r="G18" s="151" t="str">
        <x:v>ندارد</x:v>
      </x:c>
    </x:row>
    <x:row r="19">
      <x:c r="A19" s="151" t="str">
        <x:v>BR-015</x:v>
      </x:c>
      <x:c r="B19" s="151" t="str">
        <x:v>اقساط</x:v>
      </x:c>
      <x:c r="C19" s="151" t="str">
        <x:v>UI طرح‌های ۳ و ۶ ماهه با نرخ سالانه ۲۳٪ را ارائه می‌کند</x:v>
      </x:c>
      <x:c r="D19" s="151" t="str">
        <x:v>مشاهده‌شده</x:v>
      </x:c>
      <x:c r="E19" s="151" t="str">
        <x:v>محاسبه‌گر اقساط</x:v>
      </x:c>
      <x:c r="F19" s="151" t="str">
        <x:v>https://shemsh.gold/app/installment-purchase</x:v>
      </x:c>
      <x:c r="G19" s="151" t="str">
        <x:v>قوانین از طرح ۱۲ ماهه هم نام می‌برد</x:v>
      </x:c>
    </x:row>
    <x:row r="20">
      <x:c r="A20" s="151" t="str">
        <x:v>BR-016</x:v>
      </x:c>
      <x:c r="B20" s="151" t="str">
        <x:v>اقساط</x:v>
      </x:c>
      <x:c r="C20" s="151" t="str">
        <x:v>طلا تا تسویه کامل وثیقه است و قابل فروش، انتقال یا تحویل نیست</x:v>
      </x:c>
      <x:c r="D20" s="151" t="str">
        <x:v>مشاهده‌شده</x:v>
      </x:c>
      <x:c r="E20" s="151" t="str">
        <x:v>مرحله دوم و قوانین</x:v>
      </x:c>
      <x:c r="F20" s="151" t="str">
        <x:v>https://shemsh.gold/app/rolls-installment</x:v>
      </x:c>
      <x:c r="G20" s="151" t="str">
        <x:v>ندارد</x:v>
      </x:c>
    </x:row>
    <x:row r="21">
      <x:c r="A21" s="151" t="str">
        <x:v>BR-017</x:v>
      </x:c>
      <x:c r="B21" s="151" t="str">
        <x:v>اقساط</x:v>
      </x:c>
      <x:c r="C21" s="151" t="str">
        <x:v>از روز پنجم تأخیر روزانه ۰.۵٪ خسارت و پس از بیش از ۱۵ روز حق فسخ وجود دارد</x:v>
      </x:c>
      <x:c r="D21" s="151" t="str">
        <x:v>مشاهده‌شده</x:v>
      </x:c>
      <x:c r="E21" s="151" t="str">
        <x:v>قوانین اقساط</x:v>
      </x:c>
      <x:c r="F21" s="151" t="str">
        <x:v>https://shemsh.gold/app/rolls-installment</x:v>
      </x:c>
      <x:c r="G21" s="151" t="str">
        <x:v>پیام ریسک در محاسبه‌گر اولیه کم‌رنگ است</x:v>
      </x:c>
    </x:row>
    <x:row r="22">
      <x:c r="A22" s="151" t="str">
        <x:v>BR-018</x:v>
      </x:c>
      <x:c r="B22" s="151" t="str">
        <x:v>کارت هدیه</x:v>
      </x:c>
      <x:c r="C22" s="151" t="str">
        <x:v>شماره کارت ۱۱ یا ۱۲ رقم و رمز کارت ۶ رقم است</x:v>
      </x:c>
      <x:c r="D22" s="151" t="str">
        <x:v>مشاهده‌شده</x:v>
      </x:c>
      <x:c r="E22" s="151" t="str">
        <x:v>فرم تبدیل</x:v>
      </x:c>
      <x:c r="F22" s="151" t="str">
        <x:v>https://shemsh.gold/app/gift-card-details</x:v>
      </x:c>
      <x:c r="G22" s="151" t="str">
        <x:v>فرآیند کارت معتبر تست نشد</x:v>
      </x:c>
    </x:row>
    <x:row r="23">
      <x:c r="A23" s="151" t="str">
        <x:v>BR-019</x:v>
      </x:c>
      <x:c r="B23" s="151" t="str">
        <x:v>دعوت</x:v>
      </x:c>
      <x:c r="C23" s="151" t="str">
        <x:v>پاداش هر دعوت موفق برای هر دو طرف ۲۵ هزار تومان است</x:v>
      </x:c>
      <x:c r="D23" s="151" t="str">
        <x:v>مشاهده‌شده</x:v>
      </x:c>
      <x:c r="E23" s="151" t="str">
        <x:v>صفحه دعوت</x:v>
      </x:c>
      <x:c r="F23" s="151" t="str">
        <x:v>https://shemsh.gold/app/invite-friends</x:v>
      </x:c>
      <x:c r="G23" s="151" t="str">
        <x:v>تعریف دعوت موفق باید دقیق‌تر شود</x:v>
      </x:c>
    </x:row>
    <x:row r="24">
      <x:c r="A24" s="151" t="str">
        <x:v>BR-020</x:v>
      </x:c>
      <x:c r="B24" s="151" t="str">
        <x:v>کارمزد</x:v>
      </x:c>
      <x:c r="C24" s="151" t="str">
        <x:v>لندینگ نرخ عمومی کارمزد معامله را ۰.۵٪ معرفی می‌کند</x:v>
      </x:c>
      <x:c r="D24" s="151" t="str">
        <x:v>مشاهده‌شده</x:v>
      </x:c>
      <x:c r="E24" s="151" t="str">
        <x:v>لندینگ و رسیدها</x:v>
      </x:c>
      <x:c r="F24" s="151" t="str">
        <x:v>https://shemsh.ir/</x:v>
      </x:c>
      <x:c r="G24" s="151" t="str">
        <x:v>منبع رسمی واحد کارمزدها هنوز لازم است</x:v>
      </x:c>
    </x:row>
  </x:sheetData>
  <x:mergeCells>
    <x:mergeCell ref="A1:G1"/>
    <x:mergeCell ref="A2:G2"/>
  </x:mergeCells>
  <x:conditionalFormatting sqref="D5:D24">
    <x:cfRule type="containsText" dxfId="4" priority="1" operator="containsText" text="تعارض"/>
  </x:conditionalFormatting>
  <x:pageMargins left="0.7" right="0.7" top="0.75" bottom="0.75" header="0.3" footer="0.3"/>
  <x:tableParts count="1">
    <x:tablePart xmlns:r="http://schemas.openxmlformats.org/officeDocument/2006/relationships" r:id="Re406dc6429d44e74"/>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3" hidden="0" customWidth="1"/>
    <x:col min="2" max="2" width="18" hidden="0" customWidth="1"/>
    <x:col min="3" max="3" width="24" hidden="0" customWidth="1"/>
    <x:col min="4" max="4" width="48" hidden="0" customWidth="1"/>
    <x:col min="5" max="5" width="18" hidden="0" customWidth="1"/>
    <x:col min="6" max="6" width="22" hidden="0" customWidth="1"/>
    <x:col min="7" max="7" width="48" hidden="0" customWidth="1"/>
    <x:col min="8" max="8" width="18" hidden="0" customWidth="1"/>
  </x:cols>
  <x:sheetData>
    <x:row r="1" ht="32" customHeight="1">
      <x:c r="A1" s="144" t="str">
        <x:v>تعارض‌ها، موارد باز و فرصت‌های محصول</x:v>
      </x:c>
      <x:c r="B1" s="144"/>
      <x:c r="C1" s="144"/>
      <x:c r="D1" s="144"/>
      <x:c r="E1" s="144"/>
      <x:c r="F1" s="144"/>
      <x:c r="G1" s="144"/>
      <x:c r="H1" s="144"/>
    </x:row>
    <x:row r="2">
      <x:c r="A2" s="115" t="str">
        <x:v>این موارد واقعیت قطعی محصول نیستند؛ برای تصمیم‌گیری مالک محصول، حقوقی، عملیات یا فنی ثبت شده‌اند.</x:v>
      </x:c>
      <x:c r="B2" s="115"/>
      <x:c r="C2" s="115"/>
      <x:c r="D2" s="115"/>
      <x:c r="E2" s="115"/>
      <x:c r="F2" s="115"/>
      <x:c r="G2" s="115"/>
      <x:c r="H2" s="115"/>
    </x:row>
    <x:row r="3">
      <x:c r="A3" s="116"/>
      <x:c r="B3" s="116"/>
      <x:c r="C3" s="116"/>
      <x:c r="D3" s="116"/>
      <x:c r="E3" s="116"/>
      <x:c r="F3" s="116"/>
      <x:c r="G3" s="116"/>
      <x:c r="H3" s="116"/>
    </x:row>
    <x:row r="4">
      <x:c r="A4" s="152" t="str">
        <x:v>ID</x:v>
      </x:c>
      <x:c r="B4" s="152" t="str">
        <x:v>Type</x:v>
      </x:c>
      <x:c r="C4" s="152" t="str">
        <x:v>Topic</x:v>
      </x:c>
      <x:c r="D4" s="152" t="str">
        <x:v>Observed Gap</x:v>
      </x:c>
      <x:c r="E4" s="152" t="str">
        <x:v>Priority</x:v>
      </x:c>
      <x:c r="F4" s="152" t="str">
        <x:v>Owner</x:v>
      </x:c>
      <x:c r="G4" s="152" t="str">
        <x:v>Recommended Next Step</x:v>
      </x:c>
      <x:c r="H4" s="152" t="str">
        <x:v>Status</x:v>
      </x:c>
    </x:row>
    <x:row r="5">
      <x:c r="A5" s="151" t="str">
        <x:v>GAP-001</x:v>
      </x:c>
      <x:c r="B5" s="151" t="str">
        <x:v>تعارض داده</x:v>
      </x:c>
      <x:c r="C5" s="151" t="str">
        <x:v>سقف روزانه خرید</x:v>
      </x:c>
      <x:c r="D5" s="151" t="str">
        <x:v>FAQ: ۶۰,۰۰۰ سوت؛ مودال فعلی: ۱۵۰,۰۰۰ سوت</x:v>
      </x:c>
      <x:c r="E5" s="151" t="str">
        <x:v>بالا</x:v>
      </x:c>
      <x:c r="F5" s="151" t="str">
        <x:v>محصول/حقوقی</x:v>
      </x:c>
      <x:c r="G5" s="151" t="str">
        <x:v>تعیین منبع رسمی و یکسان‌سازی FAQ، مودال و قوانین</x:v>
      </x:c>
      <x:c r="H5" s="151" t="str">
        <x:v>باز</x:v>
      </x:c>
    </x:row>
    <x:row r="6">
      <x:c r="A6" s="151" t="str">
        <x:v>GAP-002</x:v>
      </x:c>
      <x:c r="B6" s="151" t="str">
        <x:v>تعارض داده</x:v>
      </x:c>
      <x:c r="C6" s="151" t="str">
        <x:v>سقف روزانه فروش</x:v>
      </x:c>
      <x:c r="D6" s="151" t="str">
        <x:v>FAQ: ۱۰۰,۰۰۰ سوت؛ مودال فعلی: ۱۵۰,۰۰۰ سوت</x:v>
      </x:c>
      <x:c r="E6" s="151" t="str">
        <x:v>بالا</x:v>
      </x:c>
      <x:c r="F6" s="151" t="str">
        <x:v>محصول/حقوقی</x:v>
      </x:c>
      <x:c r="G6" s="151" t="str">
        <x:v>تعیین مقدار نهایی و اصلاح همه نقاط تماس</x:v>
      </x:c>
      <x:c r="H6" s="151" t="str">
        <x:v>باز</x:v>
      </x:c>
    </x:row>
    <x:row r="7">
      <x:c r="A7" s="151" t="str">
        <x:v>GAP-003</x:v>
      </x:c>
      <x:c r="B7" s="151" t="str">
        <x:v>تعارض داده</x:v>
      </x:c>
      <x:c r="C7" s="151" t="str">
        <x:v>سقف روزانه برداشت</x:v>
      </x:c>
      <x:c r="D7" s="151" t="str">
        <x:v>FAQ: ۱ میلیارد ریال؛ مودال فعلی: ۳ میلیارد ریال</x:v>
      </x:c>
      <x:c r="E7" s="151" t="str">
        <x:v>بالا</x:v>
      </x:c>
      <x:c r="F7" s="151" t="str">
        <x:v>محصول/عملیات</x:v>
      </x:c>
      <x:c r="G7" s="151" t="str">
        <x:v>اتصال همه صفحات به منبع واحد محدودیت‌ها</x:v>
      </x:c>
      <x:c r="H7" s="151" t="str">
        <x:v>باز</x:v>
      </x:c>
    </x:row>
    <x:row r="8">
      <x:c r="A8" s="151" t="str">
        <x:v>GAP-004</x:v>
      </x:c>
      <x:c r="B8" s="151" t="str">
        <x:v>وضعیت قابلیت</x:v>
      </x:c>
      <x:c r="C8" s="151" t="str">
        <x:v>انتقال طلا</x:v>
      </x:c>
      <x:c r="D8" s="151" t="str">
        <x:v>در خدمات و لندینگ معرفی شده ولی صفحه پنل غیرفعال است</x:v>
      </x:c>
      <x:c r="E8" s="151" t="str">
        <x:v>بالا</x:v>
      </x:c>
      <x:c r="F8" s="151" t="str">
        <x:v>محصول</x:v>
      </x:c>
      <x:c r="G8" s="151" t="str">
        <x:v>نمایش وضعیت واقعی قبل از ورود و تعیین زمان/شرایط فعال‌سازی</x:v>
      </x:c>
      <x:c r="H8" s="151" t="str">
        <x:v>باز</x:v>
      </x:c>
    </x:row>
    <x:row r="9">
      <x:c r="A9" s="151" t="str">
        <x:v>GAP-005</x:v>
      </x:c>
      <x:c r="B9" s="151" t="str">
        <x:v>تعارض کارمزد</x:v>
      </x:c>
      <x:c r="C9" s="151" t="str">
        <x:v>کارمزد انتقال</x:v>
      </x:c>
      <x:c r="D9" s="151" t="str">
        <x:v>لندینگ بدون کارمزد؛ قوانین مستلزم کارمزد</x:v>
      </x:c>
      <x:c r="E9" s="151" t="str">
        <x:v>بالا</x:v>
      </x:c>
      <x:c r="F9" s="151" t="str">
        <x:v>حقوقی/مالی</x:v>
      </x:c>
      <x:c r="G9" s="151" t="str">
        <x:v>تصمیم رسمی و اصلاح متن‌ها</x:v>
      </x:c>
      <x:c r="H9" s="151" t="str">
        <x:v>باز</x:v>
      </x:c>
    </x:row>
    <x:row r="10">
      <x:c r="A10" s="151" t="str">
        <x:v>GAP-006</x:v>
      </x:c>
      <x:c r="B10" s="151" t="str">
        <x:v>وضعیت قابلیت</x:v>
      </x:c>
      <x:c r="C10" s="151" t="str">
        <x:v>خرید کارت هدیه</x:v>
      </x:c>
      <x:c r="D10" s="151" t="str">
        <x:v>در لندینگ مانند قابلیت فعال معرفی می‌شود؛ پنل به‌زودی است</x:v>
      </x:c>
      <x:c r="E10" s="151" t="str">
        <x:v>متوسط</x:v>
      </x:c>
      <x:c r="F10" s="151" t="str">
        <x:v>محصول/مارکتینگ</x:v>
      </x:c>
      <x:c r="G10" s="151" t="str">
        <x:v>هم‌راستا کردن وعده عمومی با وضعیت واقعی</x:v>
      </x:c>
      <x:c r="H10" s="151" t="str">
        <x:v>باز</x:v>
      </x:c>
    </x:row>
    <x:row r="11">
      <x:c r="A11" s="151" t="str">
        <x:v>GAP-007</x:v>
      </x:c>
      <x:c r="B11" s="151" t="str">
        <x:v>ابهام عملیاتی</x:v>
      </x:c>
      <x:c r="C11" s="151" t="str">
        <x:v>تحویل فیزیکی</x:v>
      </x:c>
      <x:c r="D11" s="151" t="str">
        <x:v>حداقل ۲۰۴ سوت با احتساب کارمزد بدون فرمول روشن</x:v>
      </x:c>
      <x:c r="E11" s="151" t="str">
        <x:v>بالا</x:v>
      </x:c>
      <x:c r="F11" s="151" t="str">
        <x:v>عملیات/مالی</x:v>
      </x:c>
      <x:c r="G11" s="151" t="str">
        <x:v>اعلام وزن محصول، اجرت/کارمزد، محل، مدارک و زمان آماده‌سازی</x:v>
      </x:c>
      <x:c r="H11" s="151" t="str">
        <x:v>باز</x:v>
      </x:c>
    </x:row>
    <x:row r="12">
      <x:c r="A12" s="151" t="str">
        <x:v>GAP-008</x:v>
      </x:c>
      <x:c r="B12" s="151" t="str">
        <x:v>تعارض طرح</x:v>
      </x:c>
      <x:c r="C12" s="151" t="str">
        <x:v>مدت اقساط</x:v>
      </x:c>
      <x:c r="D12" s="151" t="str">
        <x:v>UI فقط ۳ و ۶ ماه؛ قوانین ۳، ۶ و ۱۲ ماه</x:v>
      </x:c>
      <x:c r="E12" s="151" t="str">
        <x:v>متوسط</x:v>
      </x:c>
      <x:c r="F12" s="151" t="str">
        <x:v>اعتبار/حقوقی</x:v>
      </x:c>
      <x:c r="G12" s="151" t="str">
        <x:v>مشخص کردن فعال بودن طرح ۱۲ ماهه</x:v>
      </x:c>
      <x:c r="H12" s="151" t="str">
        <x:v>باز</x:v>
      </x:c>
    </x:row>
    <x:row r="13">
      <x:c r="A13" s="151" t="str">
        <x:v>GAP-009</x:v>
      </x:c>
      <x:c r="B13" s="151" t="str">
        <x:v>پشتیبانی</x:v>
      </x:c>
      <x:c r="C13" s="151" t="str">
        <x:v>صفحه پشتیبانی</x:v>
      </x:c>
      <x:c r="D13" s="151" t="str">
        <x:v>محتوای پایدار، فرم تیکت، SLA و سناریوی اضطراری دیده نشد</x:v>
      </x:c>
      <x:c r="E13" s="151" t="str">
        <x:v>بالا</x:v>
      </x:c>
      <x:c r="F13" s="151" t="str">
        <x:v>پشتیبانی/فنی</x:v>
      </x:c>
      <x:c r="G13" s="151" t="str">
        <x:v>طراحی و تست مسیرهای تراکنش ناموفق، برداشت معوق و حساب مسدود</x:v>
      </x:c>
      <x:c r="H13" s="151" t="str">
        <x:v>باز</x:v>
      </x:c>
    </x:row>
    <x:row r="14">
      <x:c r="A14" s="151" t="str">
        <x:v>GAP-010</x:v>
      </x:c>
      <x:c r="B14" s="151" t="str">
        <x:v>احراز هویت</x:v>
      </x:c>
      <x:c r="C14" s="151" t="str">
        <x:v>فلو کامل KYC</x:v>
      </x:c>
      <x:c r="D14" s="151" t="str">
        <x:v>حساب تایید شده بود؛ مراحل، خطاها و رد احراز مشاهده نشد</x:v>
      </x:c>
      <x:c r="E14" s="151" t="str">
        <x:v>متوسط</x:v>
      </x:c>
      <x:c r="F14" s="151" t="str">
        <x:v>محصول/ریسک</x:v>
      </x:c>
      <x:c r="G14" s="151" t="str">
        <x:v>بررسی با حساب تست جدید و سناریوهای خطا</x:v>
      </x:c>
      <x:c r="H14" s="151" t="str">
        <x:v>تأییدنشده</x:v>
      </x:c>
    </x:row>
    <x:row r="15">
      <x:c r="A15" s="151" t="str">
        <x:v>GAP-011</x:v>
      </x:c>
      <x:c r="B15" s="151" t="str">
        <x:v>برداشت</x:v>
      </x:c>
      <x:c r="C15" s="151" t="str">
        <x:v>وضعیت‌های پس از ثبت</x:v>
      </x:c>
      <x:c r="D15" s="151" t="str">
        <x:v>pending/failed، کارمزد و زمان واقعی تسویه تست نشد</x:v>
      </x:c>
      <x:c r="E15" s="151" t="str">
        <x:v>بالا</x:v>
      </x:c>
      <x:c r="F15" s="151" t="str">
        <x:v>عملیات/فنی</x:v>
      </x:c>
      <x:c r="G15" s="151" t="str">
        <x:v>تست با حساب مالی آزمایشی و مستندسازی وضعیت‌ها</x:v>
      </x:c>
      <x:c r="H15" s="151" t="str">
        <x:v>تأییدنشده</x:v>
      </x:c>
    </x:row>
    <x:row r="16">
      <x:c r="A16" s="151" t="str">
        <x:v>GAP-012</x:v>
      </x:c>
      <x:c r="B16" s="151" t="str">
        <x:v>تحویل فیزیکی</x:v>
      </x:c>
      <x:c r="C16" s="151" t="str">
        <x:v>مراحل بعد از حداقل موجودی</x:v>
      </x:c>
      <x:c r="D16" s="151" t="str">
        <x:v>محصول، شعبه، زمان، مدارک و لغو بدون موجودی کافی دیده نشد</x:v>
      </x:c>
      <x:c r="E16" s="151" t="str">
        <x:v>بالا</x:v>
      </x:c>
      <x:c r="F16" s="151" t="str">
        <x:v>عملیات</x:v>
      </x:c>
      <x:c r="G16" s="151" t="str">
        <x:v>تست با موجودی/حساب آزمایشی یا ارائه سناریوی بک‌آفیس</x:v>
      </x:c>
      <x:c r="H16" s="151" t="str">
        <x:v>تأییدنشده</x:v>
      </x:c>
    </x:row>
    <x:row r="17">
      <x:c r="A17" s="151" t="str">
        <x:v>GAP-013</x:v>
      </x:c>
      <x:c r="B17" s="151" t="str">
        <x:v>کارت هدیه</x:v>
      </x:c>
      <x:c r="C17" s="151" t="str">
        <x:v>فرآیند کارت معتبر</x:v>
      </x:c>
      <x:c r="D17" s="151" t="str">
        <x:v>صدور، انقضا، ابطال، انتقال و نتیجه تبدیل مشخص نیست</x:v>
      </x:c>
      <x:c r="E17" s="151" t="str">
        <x:v>متوسط</x:v>
      </x:c>
      <x:c r="F17" s="151" t="str">
        <x:v>محصول/عملیات</x:v>
      </x:c>
      <x:c r="G17" s="151" t="str">
        <x:v>تست با کارت هدیه آزمایشی</x:v>
      </x:c>
      <x:c r="H17" s="151" t="str">
        <x:v>تأییدنشده</x:v>
      </x:c>
    </x:row>
    <x:row r="18">
      <x:c r="A18" s="151" t="str">
        <x:v>GAP-014</x:v>
      </x:c>
      <x:c r="B18" s="151" t="str">
        <x:v>اپلیکیشن</x:v>
      </x:c>
      <x:c r="C18" s="151" t="str">
        <x:v>نسخه iOS</x:v>
      </x:c>
      <x:c r="D18" s="151" t="str">
        <x:v>قوانین iOS را ذکر می‌کند اما لینک دانلود مشاهده نشد</x:v>
      </x:c>
      <x:c r="E18" s="151" t="str">
        <x:v>کم</x:v>
      </x:c>
      <x:c r="F18" s="151" t="str">
        <x:v>فنی/مارکتینگ</x:v>
      </x:c>
      <x:c r="G18" s="151" t="str">
        <x:v>تأیید وضعیت نسخه iOS و اصلاح متن یا افزودن لینک</x:v>
      </x:c>
      <x:c r="H18" s="151" t="str">
        <x:v>باز</x:v>
      </x:c>
    </x:row>
    <x:row r="19">
      <x:c r="A19" s="151" t="str">
        <x:v>GAP-015</x:v>
      </x:c>
      <x:c r="B19" s="151" t="str">
        <x:v>جایگاه برند</x:v>
      </x:c>
      <x:c r="C19" s="151" t="str">
        <x:v>ضرب شمش توسط خود شمش</x:v>
      </x:c>
      <x:c r="D19" s="151" t="str">
        <x:v>مزیت راهبردی پروژه در صفحات فعلی برجسته نیست</x:v>
      </x:c>
      <x:c r="E19" s="151" t="str">
        <x:v>بالا</x:v>
      </x:c>
      <x:c r="F19" s="151" t="str">
        <x:v>برند/محصول</x:v>
      </x:c>
      <x:c r="G19" s="151" t="str">
        <x:v>تبدیل به ستون اصلی اعتماد، محصول فیزیکی و تحویل</x:v>
      </x:c>
      <x:c r="H19" s="151" t="str">
        <x:v>فرصت</x:v>
      </x:c>
    </x:row>
  </x:sheetData>
  <x:mergeCells>
    <x:mergeCell ref="A1:H1"/>
    <x:mergeCell ref="A2:H2"/>
  </x:mergeCells>
  <x:conditionalFormatting sqref="E5:E19">
    <x:cfRule type="containsText" dxfId="5" priority="1" operator="containsText" text="بالا"/>
    <x:cfRule type="containsText" dxfId="6" priority="2" operator="containsText" text="متوسط"/>
    <x:cfRule type="containsText" dxfId="7" priority="3" operator="containsText" text="کم"/>
  </x:conditionalFormatting>
  <x:dataValidations count="2">
    <x:dataValidation type="list" sqref="E5:E19">
      <x:formula1>"بالا,متوسط,کم"</x:formula1>
    </x:dataValidation>
    <x:dataValidation type="list" sqref="H5:H19">
      <x:formula1>"باز,تأییدنشده,فرصت,بسته"</x:formula1>
    </x:dataValidation>
  </x:dataValidations>
  <x:pageMargins left="0.7" right="0.7" top="0.75" bottom="0.75" header="0.3" footer="0.3"/>
  <x:tableParts count="1">
    <x:tablePart xmlns:r="http://schemas.openxmlformats.org/officeDocument/2006/relationships" r:id="Rf53cd41f5bc149b1"/>
  </x:tableParts>
</x:worksheet>
</file>